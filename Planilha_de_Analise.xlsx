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eamento ChatGPT" sheetId="1" state="visible" r:id="rId3"/>
    <sheet name="Mapeamento Claude" sheetId="2" state="visible" r:id="rId4"/>
    <sheet name="Requisitos Extras" sheetId="3" state="visible" r:id="rId5"/>
    <sheet name="Avaliação" sheetId="4" state="visible" r:id="rId6"/>
    <sheet name="Result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Quando um único requisito gerado cobre N elementos da referência, cada um desses elementos é marcado como '1 de N'.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Quando um único requisito gerado cobre N elementos da referência, cada um desses elementos é marcado como '1 de N'.</t>
        </r>
      </text>
    </comment>
  </commentList>
</comments>
</file>

<file path=xl/sharedStrings.xml><?xml version="1.0" encoding="utf-8"?>
<sst xmlns="http://schemas.openxmlformats.org/spreadsheetml/2006/main" count="2492" uniqueCount="370">
  <si>
    <t xml:space="preserve">História</t>
  </si>
  <si>
    <t xml:space="preserve">Descrição</t>
  </si>
  <si>
    <t xml:space="preserve">ID Ref.</t>
  </si>
  <si>
    <t xml:space="preserve">Requisito da referência</t>
  </si>
  <si>
    <t xml:space="preserve">Tipo Ref.</t>
  </si>
  <si>
    <t xml:space="preserve">ID gerado</t>
  </si>
  <si>
    <t xml:space="preserve">Sentença gerada</t>
  </si>
  <si>
    <t xml:space="preserve">Tipo atribuído</t>
  </si>
  <si>
    <t xml:space="preserve">Identificação</t>
  </si>
  <si>
    <t xml:space="preserve">Classificação</t>
  </si>
  <si>
    <t xml:space="preserve">Observação</t>
  </si>
  <si>
    <t xml:space="preserve">Fusão (1 de N)</t>
  </si>
  <si>
    <t xml:space="preserve">HU01</t>
  </si>
  <si>
    <t xml:space="preserve">Login único (user)</t>
  </si>
  <si>
    <t xml:space="preserve">RN01</t>
  </si>
  <si>
    <t xml:space="preserve">O sistema deve garantir que cada nome de usuário seja único no cadastro.</t>
  </si>
  <si>
    <t xml:space="preserve">RN</t>
  </si>
  <si>
    <t xml:space="preserve">Cada usuário deve possuir um nome de usuário exclusivo para sua autenticação no sistema.</t>
  </si>
  <si>
    <t xml:space="preserve">Identificada</t>
  </si>
  <si>
    <t xml:space="preserve">Coincide</t>
  </si>
  <si>
    <t xml:space="preserve">RF01</t>
  </si>
  <si>
    <t xml:space="preserve">O sistema deve permitir que o usuário se autentique informando nome de usuário e senha.</t>
  </si>
  <si>
    <t xml:space="preserve">RF</t>
  </si>
  <si>
    <t xml:space="preserve">O sistema deve permitir que o usuário se autentique informando seu nome de usuário e sua senha.</t>
  </si>
  <si>
    <t xml:space="preserve">RF02</t>
  </si>
  <si>
    <t xml:space="preserve">Quando as credenciais forem válidas, o sistema deve conceder acesso de acordo com o perfil do usuário.</t>
  </si>
  <si>
    <t xml:space="preserve">Não identificada</t>
  </si>
  <si>
    <t xml:space="preserve">Não identificado: concessão de acesso conforme o perfil do usuário. O RNF02 gerado trata apenas do bloqueio de usuários não autenticados.</t>
  </si>
  <si>
    <t xml:space="preserve">RF03</t>
  </si>
  <si>
    <t xml:space="preserve">Se as credenciais forem inválidas, o sistema deve negar o acesso e exibir mensagem de erro genérica.</t>
  </si>
  <si>
    <t xml:space="preserve">Se as credenciais informadas forem inválidas, o sistema deve impedir a autenticação do usuário.</t>
  </si>
  <si>
    <t xml:space="preserve">Parcial: não prevê mensagem de erro genérica.</t>
  </si>
  <si>
    <t xml:space="preserve">RNF01</t>
  </si>
  <si>
    <t xml:space="preserve">As senhas devem ser armazenadas de forma criptografada (hash com salt), nunca em texto puro.</t>
  </si>
  <si>
    <t xml:space="preserve">RNF</t>
  </si>
  <si>
    <t xml:space="preserve">O sistema deve garantir a confidencialidade das credenciais de autenticação durante seu armazenamento e utilização.</t>
  </si>
  <si>
    <t xml:space="preserve">Parcial: não especifica criptografia (hash com salt).</t>
  </si>
  <si>
    <t xml:space="preserve">RNF02</t>
  </si>
  <si>
    <t xml:space="preserve">A transmissão das credenciais deve ocorrer por canal seguro (HTTPS/TLS).</t>
  </si>
  <si>
    <t xml:space="preserve">Não identificado: canal seguro de transmissão (HTTPS/TLS).</t>
  </si>
  <si>
    <t xml:space="preserve">HU02</t>
  </si>
  <si>
    <t xml:space="preserve">Agendamento de consulta</t>
  </si>
  <si>
    <t xml:space="preserve">Se o médico já possuir consulta no horário solicitado, o sistema deve impedir o agendamento e sinalizar o conflito.</t>
  </si>
  <si>
    <t xml:space="preserve">Não identificado: conflito de horário do médico.</t>
  </si>
  <si>
    <t xml:space="preserve">RN02</t>
  </si>
  <si>
    <t xml:space="preserve">Apenas usuários com perfil de recepcionista devem poder agendar consultas.</t>
  </si>
  <si>
    <t xml:space="preserve">Apenas o recepcionista pode realizar o agendamento de consultas em nome de um paciente com um médico.</t>
  </si>
  <si>
    <t xml:space="preserve">Mesmo tipo de enunciado (permissão de acesso por perfil) que a referência classifica como RST nas Histórias 3, 4, 6, 8, 9 e 10.</t>
  </si>
  <si>
    <t xml:space="preserve">O sistema deve permitir que a recepcionista agende uma consulta entre um paciente e um médico.</t>
  </si>
  <si>
    <t xml:space="preserve">O sistema deve registrar o agendamento da consulta para o paciente com o médico selecionado.</t>
  </si>
  <si>
    <t xml:space="preserve">O sistema deve registrar a data e o horário da consulta agendada.</t>
  </si>
  <si>
    <t xml:space="preserve">Não identificado: registro de data e horário da consulta.</t>
  </si>
  <si>
    <t xml:space="preserve">O sistema deve vincular a consulta ao paciente e ao médico correspondentes.</t>
  </si>
  <si>
    <t xml:space="preserve">Um agendamento deve estar associado a um paciente e a um médico.</t>
  </si>
  <si>
    <t xml:space="preserve">Diverge</t>
  </si>
  <si>
    <t xml:space="preserve">Classificado como RN; na referência é RF.</t>
  </si>
  <si>
    <t xml:space="preserve">HU03</t>
  </si>
  <si>
    <t xml:space="preserve">Designação de médico</t>
  </si>
  <si>
    <t xml:space="preserve">O sistema deve permitir que a recepcionista designe um médico a um paciente.</t>
  </si>
  <si>
    <t xml:space="preserve">O sistema deve permitir que a recepcionista atribua um médico selecionado ao paciente.</t>
  </si>
  <si>
    <t xml:space="preserve">O sistema deve registrar o vínculo entre o médico designado e o paciente.</t>
  </si>
  <si>
    <t xml:space="preserve">O sistema deve registrar a associação entre o paciente e o médico atribuído.</t>
  </si>
  <si>
    <t xml:space="preserve">O sistema deve permitir a consulta dos médicos disponíveis para designação.</t>
  </si>
  <si>
    <t xml:space="preserve">Não identificado: consulta dos médicos disponíveis.</t>
  </si>
  <si>
    <t xml:space="preserve">RST01</t>
  </si>
  <si>
    <t xml:space="preserve">Apenas usuários com perfil de recepcionista devem poder designar médicos.</t>
  </si>
  <si>
    <t xml:space="preserve">RST</t>
  </si>
  <si>
    <t xml:space="preserve">A recepcionista é autorizada a atribuir um médico a um paciente.</t>
  </si>
  <si>
    <t xml:space="preserve">Classificado como RN; na referência é RST. Permissão de acesso por perfil: pela definição de RN adotada no prompt ('quem pode fazer o quê'), a classificação do modelo é compatível com RN.</t>
  </si>
  <si>
    <t xml:space="preserve">HU04</t>
  </si>
  <si>
    <t xml:space="preserve">Designação de leito</t>
  </si>
  <si>
    <t xml:space="preserve">Se o leito já estiver ocupado, o sistema deve impedir sua designação a outro paciente.</t>
  </si>
  <si>
    <t xml:space="preserve">Um leito deve estar disponível para ser atribuído a um paciente.</t>
  </si>
  <si>
    <t xml:space="preserve">O sistema deve permitir que a recepcionista designe um leito a um paciente.</t>
  </si>
  <si>
    <t xml:space="preserve">O sistema deve permitir que a recepcionista selecione um paciente e lhe atribua um leito disponível.</t>
  </si>
  <si>
    <t xml:space="preserve">Quando um leito for designado, o sistema deve marcá-lo como ocupado.</t>
  </si>
  <si>
    <t xml:space="preserve">Não identificado: atualização do status do leito para ocupado.</t>
  </si>
  <si>
    <t xml:space="preserve">O sistema deve permitir a visualização dos leitos disponíveis.</t>
  </si>
  <si>
    <t xml:space="preserve">Não identificado: visualização dos leitos disponíveis.</t>
  </si>
  <si>
    <t xml:space="preserve">Apenas usuários com perfil de recepcionista devem poder designar leitos.</t>
  </si>
  <si>
    <t xml:space="preserve">A atribuição de um leito ao paciente deve ser realizada pela recepcionista.</t>
  </si>
  <si>
    <t xml:space="preserve">HU05</t>
  </si>
  <si>
    <t xml:space="preserve">Paciente acessa prontuário</t>
  </si>
  <si>
    <t xml:space="preserve">O sistema deve restringir o acesso do paciente exclusivamente ao seu próprio prontuário.</t>
  </si>
  <si>
    <t xml:space="preserve">O paciente pode acessar apenas o seu próprio prontuário médico.</t>
  </si>
  <si>
    <t xml:space="preserve">O sistema deve permitir que o paciente acesse o seu próprio prontuário.</t>
  </si>
  <si>
    <t xml:space="preserve">O sistema deve permitir que o paciente acesse seu prontuário médico.</t>
  </si>
  <si>
    <t xml:space="preserve">O sistema deve exibir os detalhes do prontuário do paciente.</t>
  </si>
  <si>
    <t xml:space="preserve">O sistema deve apresentar ao paciente os detalhes disponíveis do seu prontuário médico após a solicitação de acesso.</t>
  </si>
  <si>
    <t xml:space="preserve">O sistema deve preservar a confidencialidade dos dados do prontuário durante o acesso (canal seguro).</t>
  </si>
  <si>
    <t xml:space="preserve">O acesso ao prontuário médico deve preservar a confidencialidade das informações do paciente.</t>
  </si>
  <si>
    <t xml:space="preserve">O acesso ao prontuário deve exigir autenticação do usuário.</t>
  </si>
  <si>
    <t xml:space="preserve">Não identificado: exigência de autenticação para o acesso.</t>
  </si>
  <si>
    <t xml:space="preserve">HU06</t>
  </si>
  <si>
    <t xml:space="preserve">Médico acessa prontuário</t>
  </si>
  <si>
    <t xml:space="preserve">O sistema deve permitir o acesso apenas aos prontuários de pacientes designados ao médico.</t>
  </si>
  <si>
    <t xml:space="preserve">Somente médicos autorizados podem acessar o prontuário médico de um paciente.</t>
  </si>
  <si>
    <t xml:space="preserve">Parcial: não menciona a designação médico-paciente; a restrição aos pacientes designados não é mencionada no texto da História 6 e está explícita apenas na História 7.</t>
  </si>
  <si>
    <t xml:space="preserve">O sistema deve permitir que o médico acesse o prontuário de um paciente.</t>
  </si>
  <si>
    <t xml:space="preserve">O sistema deve permitir que o médico acesse o prontuário médico de um paciente.</t>
  </si>
  <si>
    <t xml:space="preserve">O sistema deve exibir os detalhes do prontuário ao médico.</t>
  </si>
  <si>
    <t xml:space="preserve">O sistema deve apresentar ao médico os detalhes registrados no prontuário médico do paciente após o acesso autorizado.</t>
  </si>
  <si>
    <t xml:space="preserve">O acesso ao prontuário deve exigir autenticação e ser controlado por perfil de usuário.</t>
  </si>
  <si>
    <t xml:space="preserve">O acesso ao prontuário médico deve preservar a confidencialidade das informações do paciente, permitindo sua visualização somente a usuários autorizados.</t>
  </si>
  <si>
    <t xml:space="preserve">Parcial: cobre o controle por perfil; autenticação não explicitada. Classificado como RNF; na referência é RST.</t>
  </si>
  <si>
    <t xml:space="preserve">HU07</t>
  </si>
  <si>
    <t xml:space="preserve">Restrição de acesso a prontuários</t>
  </si>
  <si>
    <t xml:space="preserve">Um médico pode acessar apenas os prontuários dos pacientes aos quais está designado.</t>
  </si>
  <si>
    <t xml:space="preserve">O acesso de um médico aos registros médicos de um paciente deve estar condicionado à atribuição desse paciente ao médico.</t>
  </si>
  <si>
    <t xml:space="preserve">Se o médico tentar acessar um prontuário não autorizado, o sistema deve negar o acesso e registrar a tentativa.</t>
  </si>
  <si>
    <t xml:space="preserve">Se um médico tentar visualizar o registro médico de um paciente que não esteja atribuído a ele, o sistema deve impedir o acesso.</t>
  </si>
  <si>
    <t xml:space="preserve">Parcial: não prevê o registro da tentativa.</t>
  </si>
  <si>
    <t xml:space="preserve">O sistema deve garantir a confidencialidade do paciente por meio de controle de acesso baseado na designação médico-paciente.</t>
  </si>
  <si>
    <t xml:space="preserve">O sistema deve garantir a confidencialidade dos registros médicos, impedindo o acesso não autorizado por médicos.</t>
  </si>
  <si>
    <t xml:space="preserve">HU08</t>
  </si>
  <si>
    <t xml:space="preserve">Solicitação de exame</t>
  </si>
  <si>
    <t xml:space="preserve">O médico somente pode solicitar exames para pacientes aos quais está designado.</t>
  </si>
  <si>
    <t xml:space="preserve">Não identificado: restrição da solicitação a pacientes designados. A restrição aos pacientes designados não é mencionada no texto da História 8; essa regra está explícita apenas na História 7.</t>
  </si>
  <si>
    <t xml:space="preserve">O sistema deve permitir que o médico solicite um exame médico para um paciente.</t>
  </si>
  <si>
    <t xml:space="preserve">Quando o médico registra a solicitação, o sistema deve torná-la visível aos especialistas de laboratório.</t>
  </si>
  <si>
    <t xml:space="preserve">O sistema deve encaminhar a solicitação de exame ao especialista de laboratório responsável pela realização do exame.</t>
  </si>
  <si>
    <t xml:space="preserve">O sistema deve vincular o exame solicitado ao prontuário do paciente correspondente.</t>
  </si>
  <si>
    <t xml:space="preserve">O resultado do exame solicitado deve integrar o prontuário médico do paciente.</t>
  </si>
  <si>
    <t xml:space="preserve">RF04</t>
  </si>
  <si>
    <t xml:space="preserve">O sistema deve registrar o médico solicitante e a data/hora da solicitação.</t>
  </si>
  <si>
    <t xml:space="preserve">O sistema deve garantir a rastreabilidade das solicitações e resultados de exames registrados no prontuário do paciente.</t>
  </si>
  <si>
    <t xml:space="preserve">Parcial: rastreabilidade genérica, sem registro explícito de solicitante e data/hora. Classificado como RNF; na referência é RF.</t>
  </si>
  <si>
    <t xml:space="preserve">Somente usuários com perfil médico devem poder solicitar exames.</t>
  </si>
  <si>
    <t xml:space="preserve">Somente médicos podem solicitar exames médicos para serem realizados pelos especialistas de laboratório.</t>
  </si>
  <si>
    <t xml:space="preserve">HU09</t>
  </si>
  <si>
    <t xml:space="preserve">Visualização de exames solicitados</t>
  </si>
  <si>
    <t xml:space="preserve">O sistema deve permitir que o especialista de laboratório visualize os exames solicitados.</t>
  </si>
  <si>
    <t xml:space="preserve">O sistema deve permitir que o especialista de laboratório visualize os exames médicos solicitados que estejam disponíveis para execução.</t>
  </si>
  <si>
    <t xml:space="preserve">O sistema deve exibir os detalhes do exame e o paciente associado.</t>
  </si>
  <si>
    <t xml:space="preserve">RFO3</t>
  </si>
  <si>
    <t xml:space="preserve">Quando o especialista de laboratório selecionar uma solicitação de exame, o sistema deve exibir as informações necessárias da solicitação para que ele possa iniciar o trabalho.</t>
  </si>
  <si>
    <t xml:space="preserve">ID gerado com erro de digitação (RFO3 em vez de RF03).</t>
  </si>
  <si>
    <t xml:space="preserve">O sistema deve permitir identificar quais exames estão pendentes de realização.</t>
  </si>
  <si>
    <t xml:space="preserve">Quando o especialista de laboratório acessar a lista de exames solicitados, o sistema deve apresentar as solicitações de exames disponíveis para seu atendimento.</t>
  </si>
  <si>
    <t xml:space="preserve">Parcial: 'disponíveis' em vez de 'pendentes'.</t>
  </si>
  <si>
    <t xml:space="preserve">Somente usuários com perfil de especialista de laboratório podem visualizar as solicitações de exames.</t>
  </si>
  <si>
    <t xml:space="preserve">Apenas o especialista de laboratório autorizado pode visualizar os exames médicos solicitados para execução.</t>
  </si>
  <si>
    <t xml:space="preserve">HU10</t>
  </si>
  <si>
    <t xml:space="preserve">Edição de notas no prontuário</t>
  </si>
  <si>
    <t xml:space="preserve">O médico pode adicionar ou editar notas apenas nos prontuários dos pacientes aos quais está designado.</t>
  </si>
  <si>
    <t xml:space="preserve">Não identificado: restrição à edição em prontuários de pacientes designados. A restrição aos pacientes designados não é mencionada no texto da História 10; essa regra está explícita apenas na História 7.</t>
  </si>
  <si>
    <t xml:space="preserve">O sistema deve permitir que o médico adicione notas a diferentes partes do prontuário.</t>
  </si>
  <si>
    <t xml:space="preserve">O sistema deve permitir que o médico adicione notas às diferentes partes do prontuário médico às quais tenha permissão de acesso.</t>
  </si>
  <si>
    <t xml:space="preserve">O sistema deve permitir que o médico edite notas já existentes no prontuário.</t>
  </si>
  <si>
    <t xml:space="preserve">O sistema deve permitir que o médico edite informações nas diferentes partes do prontuário médico às quais tenha permissão de acesso.</t>
  </si>
  <si>
    <t xml:space="preserve">O sistema deve registrar a autoria e a data/hora de cada nota adicionada ou editada.</t>
  </si>
  <si>
    <t xml:space="preserve">Não identificado: registro de autoria e data/hora de cada nota.</t>
  </si>
  <si>
    <t xml:space="preserve">O sistema deve manter o histórico das alterações realizadas no prontuário (auditoria).</t>
  </si>
  <si>
    <t xml:space="preserve">O sistema deve preservar a integridade e a rastreabilidade das informações registradas no prontuário médico durante as operações de edição e inclusão de notas.</t>
  </si>
  <si>
    <t xml:space="preserve">Parcial: rastreabilidade sem menção explícita a histórico de alterações.</t>
  </si>
  <si>
    <t xml:space="preserve">Somente usuários com perfil de médico podem adicionar ou editar notas nos prontuários.</t>
  </si>
  <si>
    <t xml:space="preserve">Apenas médicos autorizados podem editar e adicionar notas ao prontuário médico.</t>
  </si>
  <si>
    <t xml:space="preserve">Cada usuário do sistema deve possuir um login (username) único.</t>
  </si>
  <si>
    <t xml:space="preserve">O sistema deve permitir que o usuário se autentique informando username e senha, concedendo acesso somente quando as credenciais forem válidas.</t>
  </si>
  <si>
    <t xml:space="preserve">Requisito único cobre também a concessão de acesso (fusão).</t>
  </si>
  <si>
    <t xml:space="preserve">1 de 2</t>
  </si>
  <si>
    <t xml:space="preserve">Fusão: mesmo requisito cobre RF01 e RF02 da referência.</t>
  </si>
  <si>
    <t xml:space="preserve">Não identificado: negativa explícita com mensagem de erro genérica.</t>
  </si>
  <si>
    <t xml:space="preserve">O sistema deve armazenar as senhas dos usuários de forma criptografada.</t>
  </si>
  <si>
    <t xml:space="preserve">O sistema deve proteger a confidencialidade das credenciais durante a transmissão.</t>
  </si>
  <si>
    <t xml:space="preserve">Um médico não pode possuir duas consultas agendadas no mesmo horário.</t>
  </si>
  <si>
    <t xml:space="preserve">Somente usuários com o papel de recepcionista podem realizar o agendamento de consultas para pacientes.</t>
  </si>
  <si>
    <t xml:space="preserve">Quando a recepcionista confirmar o paciente, o médico, a data e o horário, o sistema deve registrar a consulta agendada.</t>
  </si>
  <si>
    <t xml:space="preserve">Fusão: cobre RF01, RF02 e RF03 da referência.</t>
  </si>
  <si>
    <t xml:space="preserve">1 de 3</t>
  </si>
  <si>
    <t xml:space="preserve">Fusão: registro de data e horário contemplado.</t>
  </si>
  <si>
    <t xml:space="preserve">Fusão: vínculo com paciente e médico contemplado.</t>
  </si>
  <si>
    <t xml:space="preserve">Quando a recepcionista confirmar a seleção, o sistema deve registrar o médico atribuído ao paciente.</t>
  </si>
  <si>
    <t xml:space="preserve">Fusão: cobre RF01 e RF02 da referência.</t>
  </si>
  <si>
    <t xml:space="preserve">Fusão: registro do vínculo contemplado.</t>
  </si>
  <si>
    <t xml:space="preserve">O sistema deve permitir que a recepcionista selecione um médico dentre os médicos cadastrados para atribuição ao paciente.</t>
  </si>
  <si>
    <t xml:space="preserve">Apenas usuários com perfil de recepcionista têm permissão para atribuir um médico a um paciente em nome deste.</t>
  </si>
  <si>
    <t xml:space="preserve">Um leito somente pode ser atribuído a um paciente se estiver disponível (não ocupado por outro paciente).</t>
  </si>
  <si>
    <t xml:space="preserve">O sistema deve permitir que a recepcionista atribua um leito disponível a um paciente.</t>
  </si>
  <si>
    <t xml:space="preserve">Quando um leito for atribuído a um paciente, o sistema deve atualizar o status do leito para ocupado.</t>
  </si>
  <si>
    <t xml:space="preserve">O sistema deve exibir a lista de leitos disponíveis para seleção no momento da atribuição.</t>
  </si>
  <si>
    <t xml:space="preserve">Apenas usuários com o papel de recepcionista estão autorizados a atribuir um leito a um paciente.</t>
  </si>
  <si>
    <t xml:space="preserve">O paciente somente pode acessar o prontuário médico do qual é o titular.</t>
  </si>
  <si>
    <t xml:space="preserve">O sistema deve permitir que o paciente autenticado visualize os detalhes do seu prontuário médico.</t>
  </si>
  <si>
    <t xml:space="preserve">Fusão: exibição dos detalhes contemplada.</t>
  </si>
  <si>
    <t xml:space="preserve">O sistema deve garantir a confidencialidade dos dados do prontuário médico durante a transmissão e o armazenamento.</t>
  </si>
  <si>
    <t xml:space="preserve">Autenticação aparece como condição embutida no RF01, não como requisito próprio. Classificado como RF; na referência é RST.</t>
  </si>
  <si>
    <t xml:space="preserve">Apenas usuários com o perfil de médico têm permissão para acessar o prontuário médico do paciente.</t>
  </si>
  <si>
    <t xml:space="preserve">O sistema deve permitir que o médico acesse o prontuário médico do paciente.</t>
  </si>
  <si>
    <t xml:space="preserve">Quando o médico acessar o prontuário médico, o sistema deve exibir os detalhes do prontuário.</t>
  </si>
  <si>
    <t xml:space="preserve">Parcial: cobre o controle por perfil; autenticação não explicitada. Classificado como RN; na referência é RST. Permissão de acesso por perfil: pela definição de RN adotada no prompt ('quem pode fazer o quê'), a classificação do modelo é compatível com RN.</t>
  </si>
  <si>
    <t xml:space="preserve">O acesso ao prontuário médico de um paciente é restrito aos médicos formalmente designados/atribuídos a esse paciente.</t>
  </si>
  <si>
    <t xml:space="preserve">Se o médico não estiver atribuído ao paciente, o sistema deve negar o acesso ao prontuário médico.</t>
  </si>
  <si>
    <t xml:space="preserve">Registro da tentativa contemplado pelo RNF02 gerado (log de auditoria).</t>
  </si>
  <si>
    <t xml:space="preserve">O sistema deve garantir a confidencialidade dos dados médicos dos pacientes por meio de controle de acesso baseado na atribuição médico-paciente.</t>
  </si>
  <si>
    <t xml:space="preserve">O sistema deve permitir que o médico solicite um exame laboratorial para um paciente.</t>
  </si>
  <si>
    <t xml:space="preserve">O sistema deve disponibilizar a solicitação de exame registrada aos especialistas de laboratório para execução.</t>
  </si>
  <si>
    <t xml:space="preserve">Quando uma solicitação de exame for registrada, o sistema deve associá-la ao prontuário médico do paciente correspondente.</t>
  </si>
  <si>
    <t xml:space="preserve">O sistema deve manter registro de auditoria de cada solicitação de exame realizada.</t>
  </si>
  <si>
    <t xml:space="preserve">Parcial: auditoria genérica, sem menção explícita a solicitante e data/hora. Classificado como RNF; na referência é RF.</t>
  </si>
  <si>
    <t xml:space="preserve">Apenas usuários com perfil de médico podem solicitar exames laboratoriais para pacientes.</t>
  </si>
  <si>
    <t xml:space="preserve">O sistema deve permitir que o especialista de laboratório visualize a lista de exames médicos solicitados.</t>
  </si>
  <si>
    <t xml:space="preserve">Não identificado: exibição dos detalhes do exame e do paciente associado.</t>
  </si>
  <si>
    <t xml:space="preserve">Quando um exame médico for solicitado, o sistema deve disponibilizá-lo na lista de exames pendentes do especialista de laboratório.</t>
  </si>
  <si>
    <t xml:space="preserve">Apenas usuários com o papel de especialista de laboratório estão autorizados a visualizar a lista de exames médicos solicitados.</t>
  </si>
  <si>
    <t xml:space="preserve">O sistema deve permitir que o médico adicione notas em diferentes partes do prontuário médico do paciente.</t>
  </si>
  <si>
    <t xml:space="preserve">O sistema deve permitir que o médico edite notas previamente inseridas em diferentes partes do prontuário médico do paciente.</t>
  </si>
  <si>
    <t xml:space="preserve">O sistema deve registrar de forma auditável todas as adições e edições de notas realizadas pelo médico no prontuário médico.</t>
  </si>
  <si>
    <t xml:space="preserve">Parcial: registro auditável cobre a autoria; data/hora não explicitada. Classificado como RNF; na referência é RF.</t>
  </si>
  <si>
    <t xml:space="preserve">Fusão: mesmo requisito cobre RF03 e RNF01 da referência.</t>
  </si>
  <si>
    <t xml:space="preserve">Apenas médicos autenticados e autorizados podem editar ou adicionar notas nos prontuários médicos dos pacientes.</t>
  </si>
  <si>
    <t xml:space="preserve">REQUISITOS GERADOS SEM CORRESPONDÊNCIA NA REFERÊNCIA</t>
  </si>
  <si>
    <t xml:space="preserve">Modelo</t>
  </si>
  <si>
    <t xml:space="preserve">Correspondência referência</t>
  </si>
  <si>
    <t xml:space="preserve">ChatGPT</t>
  </si>
  <si>
    <t xml:space="preserve">O sistema deve impedir o acesso às funcionalidades protegidas por usuários que não estejam autenticados.</t>
  </si>
  <si>
    <t xml:space="preserve">Adicional sustentado</t>
  </si>
  <si>
    <t xml:space="preserve">Decorre do objetivo de segurança declarado na história.</t>
  </si>
  <si>
    <t xml:space="preserve">O mecanismo de autenticação deve utilizar exclusivamente nome de usuário e senha como credenciais de acesso previstas para o requisito de login.</t>
  </si>
  <si>
    <t xml:space="preserve">Restrição derivada da forma de autenticação indicada na história.</t>
  </si>
  <si>
    <t xml:space="preserve">Claude</t>
  </si>
  <si>
    <t xml:space="preserve">O sistema deve permitir o cadastro de um usuário com username e senha, validando que o username seja único.</t>
  </si>
  <si>
    <t xml:space="preserve">Não</t>
  </si>
  <si>
    <t xml:space="preserve">Amplia o escopo: a história trata da autenticação, não do cadastro de usuários.</t>
  </si>
  <si>
    <t xml:space="preserve">O sistema deve utilizar autenticação baseada em username e senha.</t>
  </si>
  <si>
    <t xml:space="preserve">O sistema deve permitir que o recepcionista selecione um paciente para o qual deseja realizar o agendamento.</t>
  </si>
  <si>
    <t xml:space="preserve">Decomposição do agendamento em etapas de seleção.</t>
  </si>
  <si>
    <t xml:space="preserve">O sistema deve permitir que o recepcionista selecione um médico para o atendimento do paciente.</t>
  </si>
  <si>
    <t xml:space="preserve">O sistema deve permitir que a recepcionista selecione um paciente cadastrado para o agendamento da consulta.</t>
  </si>
  <si>
    <t xml:space="preserve">O sistema deve permitir que a recepcionista selecione um médico disponível para o agendamento da consulta.</t>
  </si>
  <si>
    <t xml:space="preserve">O sistema deve registrar, para fins de auditoria, o usuário responsável pela criação de cada agendamento de consulta.</t>
  </si>
  <si>
    <t xml:space="preserve">Sustentado como padrão do domínio hospitalar, conforme instrução do prompt quanto aos requisitos implícitos.</t>
  </si>
  <si>
    <t xml:space="preserve">Um paciente que não conhece um médico pode receber um médico atribuído pela recepcionista.</t>
  </si>
  <si>
    <t xml:space="preserve">Reproduz a justificativa declarada na história.</t>
  </si>
  <si>
    <t xml:space="preserve">O sistema deve permitir que a recepcionista selecione um paciente para realizar a atribuição de um médico.</t>
  </si>
  <si>
    <t xml:space="preserve">Decomposição da atribuição em etapas.</t>
  </si>
  <si>
    <t xml:space="preserve">A recepcionista pode atribuir um médico a um paciente que não saiba indicar um médico de sua preferência.</t>
  </si>
  <si>
    <t xml:space="preserve">O sistema deve permitir que a recepcionista selecione um paciente para o qual deseja atribuir um médico.</t>
  </si>
  <si>
    <t xml:space="preserve">O sistema deve registrar em log de auditoria a atribuição de médico realizada pela recepcionista, incluindo o usuário responsável e a data/hora da ação.</t>
  </si>
  <si>
    <t xml:space="preserve">Quando um leito for atribuído a um paciente, o sistema deve registrar a associação entre o paciente e o leito.</t>
  </si>
  <si>
    <t xml:space="preserve">Registro do vínculo paciente-leito decorre da atribuição.</t>
  </si>
  <si>
    <t xml:space="preserve">O sistema deve registrar, para fins de auditoria, o usuário responsável, o paciente, o leito e o momento da atribuição do leito.</t>
  </si>
  <si>
    <t xml:space="preserve">Se o paciente tentar acessar um prontuário médico que não seja o seu, o sistema deve negar o acesso.</t>
  </si>
  <si>
    <t xml:space="preserve">Decorre da restrição de acesso ao próprio prontuário.</t>
  </si>
  <si>
    <t xml:space="preserve">O sistema deve registrar em log de auditoria todo acesso ao prontuário médico do paciente.</t>
  </si>
  <si>
    <t xml:space="preserve">O sistema deve estar em conformidade com a legislação de proteção de dados pessoais de saúde aplicável.</t>
  </si>
  <si>
    <t xml:space="preserve">O sistema deve registrar em log de auditoria todo acesso do médico ao prontuário médico do paciente.</t>
  </si>
  <si>
    <t xml:space="preserve">O sistema deve garantir a confidencialidade dos dados do prontuário médico durante o acesso pelo médico.</t>
  </si>
  <si>
    <t xml:space="preserve">Confidencialidade esperada como padrão do domínio hospitalar.</t>
  </si>
  <si>
    <t xml:space="preserve">O sistema deve estar em conformidade com a legislação de proteção de dados de saúde aplicável.</t>
  </si>
  <si>
    <t xml:space="preserve">O sistema deve permitir que um médico visualize os registros médicos somente dos pacientes que estejam atribuídos a ele.</t>
  </si>
  <si>
    <t xml:space="preserve">Formulação positiva da mesma restrição de acesso.</t>
  </si>
  <si>
    <t xml:space="preserve">Quando um médico solicitar a visualização do prontuário de um paciente, o sistema deve verificar se esse médico está atribuído ao paciente.</t>
  </si>
  <si>
    <t xml:space="preserve">Etapa de verificação decorrente da restrição de acesso.</t>
  </si>
  <si>
    <t xml:space="preserve">O sistema deve estar em conformidade com a legislação aplicável de proteção de dados de saúde.</t>
  </si>
  <si>
    <t xml:space="preserve">O sistema deve registrar o resultado do exame no prontuário médico do paciente após sua realização pelo especialista de laboratório.</t>
  </si>
  <si>
    <t xml:space="preserve">Amplia o escopo: a história trata da solicitação do exame, não do registro de resultados.</t>
  </si>
  <si>
    <t xml:space="preserve">O sistema deve permitir o registro de solicitações de exame apenas a usuários autenticados com perfil de médico.</t>
  </si>
  <si>
    <t xml:space="preserve">Reforça o controle de acesso já expresso como RN.</t>
  </si>
  <si>
    <t xml:space="preserve">Um exame médico deve estar previamente solicitado por um profissional autorizado para que possa ser disponibilizado ao especialista de laboratório.</t>
  </si>
  <si>
    <t xml:space="preserve">Precondição decorrente do fluxo de solicitação de exames.</t>
  </si>
  <si>
    <t xml:space="preserve">O sistema deve restringir o acesso à lista de exames solicitados exclusivamente a usuários autenticados com o papel de especialista de laboratório.</t>
  </si>
  <si>
    <t xml:space="preserve">O sistema deve registrar em log de auditoria os acessos à lista de exames médicos solicitados.</t>
  </si>
  <si>
    <t xml:space="preserve">As informações registradas no prontuário devem permanecer vinculadas ao paciente correspondente.</t>
  </si>
  <si>
    <t xml:space="preserve">Vínculo com o paciente é inerente ao prontuário.</t>
  </si>
  <si>
    <t xml:space="preserve">O sistema deve disponibilizar ao médico as informações atualizadas do prontuário para apoiar a avaliação da situação clínica e mantê-lo informado.</t>
  </si>
  <si>
    <t xml:space="preserve">O sistema deve garantir a integridade e a confidencialidade das informações do prontuário médico durante as operações de edição e adição de notas.</t>
  </si>
  <si>
    <t xml:space="preserve">Integridade e confidencialidade esperadas como padrão do domínio.</t>
  </si>
  <si>
    <t xml:space="preserve">O sistema deve estar em conformidade com a legislação de proteção de dados de saúde aplicável ao registro e à alteração de prontuários médicos.</t>
  </si>
  <si>
    <t xml:space="preserve">LLM</t>
  </si>
  <si>
    <t xml:space="preserve">ID</t>
  </si>
  <si>
    <t xml:space="preserve">Tipo</t>
  </si>
  <si>
    <t xml:space="preserve">Elemento gerado</t>
  </si>
  <si>
    <t xml:space="preserve">Corretude</t>
  </si>
  <si>
    <t xml:space="preserve">Completude</t>
  </si>
  <si>
    <t xml:space="preserve">Não ambiguidade</t>
  </si>
  <si>
    <t xml:space="preserve">Verificabilidade</t>
  </si>
  <si>
    <t xml:space="preserve">Observação/Justificativa</t>
  </si>
  <si>
    <t xml:space="preserve">Sim</t>
  </si>
  <si>
    <t xml:space="preserve">A</t>
  </si>
  <si>
    <t xml:space="preserve">Parcial</t>
  </si>
  <si>
    <t xml:space="preserve">AP</t>
  </si>
  <si>
    <t xml:space="preserve">Parcial: não prevê mensagem de erro genérica. | Completude AP: não indica o retorno ao usuário diante da falha de autenticação.</t>
  </si>
  <si>
    <t xml:space="preserve">Parcial: não especifica criptografia (hash com salt). | Completude AP: não indica o mecanismo de proteção. Não ambiguidade AP: 'utilização' admite leituras distintas. Verificabilidade AP: exige critério objetivo de confidencialidade.</t>
  </si>
  <si>
    <t xml:space="preserve">Sustentado pela história. Decorre do objetivo de segurança declarado na história. | Completude AP: não identifica quais funcionalidades devem ser protegidas. Não ambiguidade AP: 'funcionalidades protegidas' admite interpretações diferentes. Verificabilidade AP: sem a delimitação dessas funcionalidades, a verificação objetiva completa depende de informações adicionais.</t>
  </si>
  <si>
    <t xml:space="preserve">Sustentado pela história. Restrição derivada da forma de autenticação indicada na história. | Não ambiguidade AP: a expressão 'previstas para o requisito de login' torna a redação confusa.</t>
  </si>
  <si>
    <t xml:space="preserve">Sustentado pela história. Decomposição do agendamento em etapas de seleção.</t>
  </si>
  <si>
    <t xml:space="preserve">Completude AP: não contempla data e horário, informações relevantes para o agendamento.</t>
  </si>
  <si>
    <t xml:space="preserve">Sustentado pela história. Decomposição da atribuição em etapas.</t>
  </si>
  <si>
    <t xml:space="preserve">Classificado como RN; na referência é RST.</t>
  </si>
  <si>
    <t xml:space="preserve">Sustentado pela história. Reproduz a justificativa declarada na história. | Não ambiguidade AP: 'não conhece um médico' é uma condição subjetiva, que admite interpretações diferentes. Verificabilidade AP: a constatação dessa condição depende de informações adicionais, pois ela não tem critério objetivo.</t>
  </si>
  <si>
    <t xml:space="preserve">Sustentado pela história. Registro do vínculo paciente-leito decorre da atribuição.</t>
  </si>
  <si>
    <t xml:space="preserve">Não ambiguidade AP: 'detalhes disponíveis' não delimita o conteúdo exibido. Verificabilidade AP: depende dessa delimitação.</t>
  </si>
  <si>
    <t xml:space="preserve">Completude AP: não indica como a confidencialidade é preservada. Verificabilidade AP: ausência de critério objetivo.</t>
  </si>
  <si>
    <t xml:space="preserve">Não ambiguidade AP: 'os detalhes registrados' não delimita o conteúdo exibido.</t>
  </si>
  <si>
    <t xml:space="preserve">Parcial: não menciona a designação médico-paciente; a restrição aos pacientes designados não é mencionada no texto da História 6 e está explícita apenas na História 7. | Completude AP: não indica o critério que torna um médico autorizado. Não ambiguidade AP: 'médicos autorizados' admite interpretações diferentes. Verificabilidade AP: sem o critério de autorização, a verificação objetiva completa depende de informações adicionais.</t>
  </si>
  <si>
    <t xml:space="preserve">Parcial: cobre o controle por perfil; autenticação não explicitada. Classificado como RNF; na referência é RST. | Completude AP: não indica como a confidencialidade é preservada. Não ambiguidade AP: 'usuários autorizados' admite interpretações diferentes. Verificabilidade AP: a confidencialidade é enunciada sem critério de aceitação, e a verificação objetiva completa depende de informações adicionais.</t>
  </si>
  <si>
    <t xml:space="preserve">Sustentado pela história. Formulação positiva da mesma restrição de acesso.</t>
  </si>
  <si>
    <t xml:space="preserve">Não ambiguidade AP: 'acesso não autorizado' não explicita o critério de autorização e admite interpretações diferentes. Verificabilidade AP: a confidencialidade é enunciada de forma genérica, e a verificação objetiva completa depende de um critério de aceitação não informado.</t>
  </si>
  <si>
    <t xml:space="preserve">Completude AP: não indica como é determinado o especialista que recebe a solicitação. Não ambiguidade AP: 'especialista de laboratório responsável' admite interpretações diferentes. Verificabilidade AP: sem a definição do destinatário, a verificação objetiva completa do encaminhamento depende de informações adicionais.</t>
  </si>
  <si>
    <t xml:space="preserve">Sem sustentação na história. A história trata da solicitação do exame, não do registro de resultados. ID gerado com erro de digitação (RFO3 em vez de RF03). | Corretude AP: acrescenta o registro do resultado, que extrapola o conteúdo declarado na história.</t>
  </si>
  <si>
    <t xml:space="preserve">Parcial: rastreabilidade genérica, sem registro explícito de solicitante e data/hora. Classificado como RNF; na referência é RF. | Completude AP: não especifica quais informações devem ser registradas. Não ambiguidade AP: 'rastreabilidade' admite interpretações diferentes quanto ao que deve ser rastreado. Verificabilidade AP: sem essas informações, a verificação objetiva completa depende de informações adicionais.</t>
  </si>
  <si>
    <t xml:space="preserve">Não ambiguidade AP: 'disponíveis para execução' não equivale claramente a exames pendentes.</t>
  </si>
  <si>
    <t xml:space="preserve">Parcial: 'disponíveis' em vez de 'pendentes'. | Completude AP: não delimita quais solicitações compõem a lista apresentada. Não ambiguidade AP: 'disponíveis para seu atendimento' admite interpretações diferentes. Verificabilidade AP: sem a delimitação do conjunto, a verificação objetiva completa depende de informações adicionais.</t>
  </si>
  <si>
    <t xml:space="preserve">ID gerado com erro de digitação (RFO3 em vez de RF03). | Completude AP: não especifica quais informações da solicitação são exibidas. Não ambiguidade AP: 'informações necessárias' admite interpretações diferentes. Verificabilidade AP: sem a especificação dessas informações, a verificação objetiva completa depende de informações adicionais.</t>
  </si>
  <si>
    <t xml:space="preserve">Classificado como RN; na referência é RST. | Não ambiguidade AP: 'especialista autorizado' não define o critério de autorização.</t>
  </si>
  <si>
    <t xml:space="preserve">Sustentado pela história. Precondição decorrente do fluxo de solicitação de exames. | Não ambiguidade AP: 'profissional autorizado' não é delimitado.</t>
  </si>
  <si>
    <t xml:space="preserve">Corretude AP: a história trata da edição de notas; 'editar informações' amplia o escopo. Completude AP: não delimita quais partes do prontuário podem ser editadas. Não ambiguidade AP: 'diferentes partes' admite interpretações diferentes. Verificabilidade AP: sem essa delimitação, a verificação objetiva completa depende de informações adicionais.</t>
  </si>
  <si>
    <t xml:space="preserve">Não ambiguidade AP: 'diferentes partes do prontuário' não é delimitado.</t>
  </si>
  <si>
    <t xml:space="preserve">Sustentado pela história. Reproduz a justificativa declarada na história. ID gerado com erro de digitação (RFO3 em vez de RF03). | Completude AP: não define quais informações do prontuário devem ser disponibilizadas. Não ambiguidade AP: 'informações atualizadas' admite interpretações diferentes, pois não se define o que caracteriza uma informação como atualizada. Verificabilidade AP: a disponibilização das informações pode ser verificada, mas a verificação objetiva completa depende de informações adicionais; a finalidade 'apoiar a avaliação da situação clínica e mantê-lo informado' reproduz a justificativa da história e não corresponde a um comportamento verificável. Verificabilidade revista de NA para AP, conforme as regras de avaliação.</t>
  </si>
  <si>
    <t xml:space="preserve">Classificado como RN; na referência é RST. | Não ambiguidade AP: 'médicos autorizados' não define o critério de autorização.</t>
  </si>
  <si>
    <t xml:space="preserve">Sustentado pela história. Vínculo com o paciente é inerente ao prontuário.</t>
  </si>
  <si>
    <t xml:space="preserve">Parcial: rastreabilidade sem menção explícita a histórico de alterações. | Completude AP: não especifica o que deve ser registrado nas operações de edição e inclusão de notas. Não ambiguidade AP: 'integridade' e 'rastreabilidade' não são caracterizadas e admitem interpretações diferentes quanto ao que deve ser preservado e registrado. Verificabilidade AP: sem essa caracterização, a verificação objetiva completa depende de informações adicionais.</t>
  </si>
  <si>
    <t xml:space="preserve">Sem sustentação na história. A história trata do login, não do cadastro de usuários. | Corretude AP: acrescenta o cadastro de usuários, que amplia o escopo declarado na história, voltada à autenticação.</t>
  </si>
  <si>
    <t xml:space="preserve">Fusão: o mesmo requisito cobre RF01 e RF02 da referência (autenticação e concessão de acesso).</t>
  </si>
  <si>
    <t xml:space="preserve">Sustentado pela história. Restrição derivada da forma de autenticação indicada na história.</t>
  </si>
  <si>
    <t xml:space="preserve">Fusão: o mesmo requisito cobre RF01, RF02 e RF03 da referência (agendamento, registro de data e horário e vínculo com paciente e médico).</t>
  </si>
  <si>
    <t xml:space="preserve">Sustentado como padrão do domínio hospitalar. Auditoria não mencionada na história. | Corretude A: requisito implícito esperado no domínio hospitalar, conforme a instrução do prompt.</t>
  </si>
  <si>
    <t xml:space="preserve">Fusão: o mesmo requisito cobre RF01 e RF02 da referência (designação do médico e registro do vínculo).</t>
  </si>
  <si>
    <t xml:space="preserve">Sustentado pela história. Reproduz a justificativa declarada na história. | Não ambiguidade AP: 'não saiba indicar um médico de sua preferência' é uma condição subjetiva, que admite interpretações diferentes. Verificabilidade AP: a constatação dessa condição depende de informações adicionais, pois ela não tem critério objetivo.</t>
  </si>
  <si>
    <t xml:space="preserve">Fusão: o mesmo requisito cobre RF01, RF02 e RST01 da referência (acesso, exibição dos detalhes e autenticação). A autenticação aparece como condição embutida no requisito, não como requisito próprio; classificado como RF, na referência é RST. | Não ambiguidade AP: 'os detalhes' não delimita o conteúdo exibido. Verificabilidade AP: sem a delimitação dos detalhes exibidos, a verificação objetiva completa depende de informações adicionais.</t>
  </si>
  <si>
    <t xml:space="preserve">Sustentado pela história. Decorre da restrição de acesso ao próprio prontuário.</t>
  </si>
  <si>
    <t xml:space="preserve">Completude AP: não indica o mecanismo de proteção. Verificabilidade AP: confidencialidade sem critério objetivo.</t>
  </si>
  <si>
    <t xml:space="preserve">Sustentado como padrão do domínio hospitalar. Conformidade legal não mencionada na história. | Corretude A: requisito implícito esperado no domínio hospitalar, conforme a instrução do prompt. Completude AP: representa a necessidade de conformidade legal, mas não identifica a legislação nem as obrigações a cumprir. Não ambiguidade AP: 'legislação aplicável' admite interpretações diferentes quanto às normas abrangidas, como a legislação geral de proteção de dados pessoais ou normas específicas sobre prontuários eletrônicos. Verificabilidade AP: sem a identificação da norma, a definição de critérios objetivos de aceitação depende de informações adicionais sobre as exigências legais.</t>
  </si>
  <si>
    <t xml:space="preserve">Não ambiguidade AP: 'os detalhes do prontuário' não delimita o conteúdo exibido.</t>
  </si>
  <si>
    <t xml:space="preserve">Parcial em relação ao RN01 da referência: não menciona a designação médico-paciente; a restrição aos pacientes designados não é mencionada no texto da História 6 e está explícita apenas na História 7. Parcial em relação ao RST01: cobre o controle por perfil, sem explicitar a autenticação; classificado como RN, na referência é RST.</t>
  </si>
  <si>
    <t xml:space="preserve">Sustentado como padrão do domínio hospitalar. Confidencialidade esperada no domínio. | Completude AP: não indica o mecanismo de proteção. Verificabilidade AP: a confidencialidade é enunciada sem critério de aceitação, e a verificação objetiva completa depende de informações adicionais.</t>
  </si>
  <si>
    <t xml:space="preserve">Sustentado pela história. Etapa de verificação decorrente da restrição de acesso.</t>
  </si>
  <si>
    <t xml:space="preserve">Verificabilidade AP: a confidencialidade depende de critério objetivo não enunciado.</t>
  </si>
  <si>
    <t xml:space="preserve">O sistema deve registrar em log de auditoria as tentativas de acesso, autorizadas ou negadas, a prontuários médicos.</t>
  </si>
  <si>
    <t xml:space="preserve">Contribuiu para a cobertura do RF01 da referência (registro da tentativa).</t>
  </si>
  <si>
    <t xml:space="preserve">Sustentado pela história. Reforça o controle de acesso já expresso como RN.</t>
  </si>
  <si>
    <t xml:space="preserve">Parcial: auditoria genérica, sem menção explícita a solicitante e data/hora. Classificado como RNF; na referência é RF. | Completude AP: não especifica quais informações compõem o registro de auditoria.</t>
  </si>
  <si>
    <t xml:space="preserve">Classificado como RN; na referência é RST. | Não ambiguidade AP: 'autenticados e autorizados' não define o critério de autorização.</t>
  </si>
  <si>
    <t xml:space="preserve">Fusão: o mesmo requisito cobre RF03 e RNF01 da referência. Em relação ao RF03, cobre a autoria, sem explicitar data e hora; classificado como RNF, na referência o RF03 é RF. | Completude AP: 'de forma auditável' não especifica quais informações são registradas.</t>
  </si>
  <si>
    <t xml:space="preserve">Sustentado como padrão do domínio hospitalar. Integridade e confidencialidade esperadas no domínio. | Completude AP: não indica os mecanismos de preservação da integridade e da confidencialidade. Não ambiguidade AP: 'integridade' e 'confidencialidade' não são caracterizadas e admitem interpretações diferentes quanto ao que deve ser garantido. Verificabilidade AP: sem essa caracterização, a verificação objetiva completa depende de informações adicionais.</t>
  </si>
  <si>
    <t xml:space="preserve">RESULTADOS</t>
  </si>
  <si>
    <t xml:space="preserve">1. Cobertura de Requisitos (CR) por categoria</t>
  </si>
  <si>
    <t xml:space="preserve">Categoria</t>
  </si>
  <si>
    <t xml:space="preserve">Total ref.</t>
  </si>
  <si>
    <t xml:space="preserve">CR ChatGPT</t>
  </si>
  <si>
    <t xml:space="preserve">CR Claude</t>
  </si>
  <si>
    <t xml:space="preserve">TOTAL</t>
  </si>
  <si>
    <t xml:space="preserve">2. Adequação da classificação (entre os identificados)</t>
  </si>
  <si>
    <t xml:space="preserve">Situação</t>
  </si>
  <si>
    <t xml:space="preserve">3. Elementos gerados sem correspondência direta na especificação de referência</t>
  </si>
  <si>
    <t xml:space="preserve">Sustentação</t>
  </si>
  <si>
    <t xml:space="preserve">4. Critérios de qualidade (nº de elementos gerados: A = Atende, AP = Atende Parcialmente, NA = Não Atende)</t>
  </si>
  <si>
    <t xml:space="preserve">Critério</t>
  </si>
  <si>
    <t xml:space="preserve">ChatGPT: A</t>
  </si>
  <si>
    <t xml:space="preserve">ChatGPT: AP</t>
  </si>
  <si>
    <t xml:space="preserve">ChatGPT: NA</t>
  </si>
  <si>
    <t xml:space="preserve">Claude: A</t>
  </si>
  <si>
    <t xml:space="preserve">Claude: AP</t>
  </si>
  <si>
    <t xml:space="preserve">Claude: NA</t>
  </si>
  <si>
    <t xml:space="preserve">Total de avaliações</t>
  </si>
  <si>
    <t xml:space="preserve">Atende ÷ total de avaliações</t>
  </si>
  <si>
    <t xml:space="preserve">Total avaliados</t>
  </si>
  <si>
    <t xml:space="preserve">Corretude A (%)</t>
  </si>
  <si>
    <t xml:space="preserve">Completude A (%)</t>
  </si>
  <si>
    <t xml:space="preserve">Não ambiguidade A (%)</t>
  </si>
  <si>
    <t xml:space="preserve">Verificabilidade A (%)</t>
  </si>
  <si>
    <t xml:space="preserve">Média A (%)</t>
  </si>
  <si>
    <t xml:space="preserve">Média A (%): média aritmética simples dos quatro percentuais de Atende. Nos totais, coincide com a razão Atende ÷ total de avaliações da linha 33 (total de avaliações = elementos × 4 critérios).</t>
  </si>
  <si>
    <t xml:space="preserve">5. Volume de elementos gerados em relação à referência</t>
  </si>
  <si>
    <t xml:space="preserve">Indicador</t>
  </si>
  <si>
    <t xml:space="preserve">Elementos gerados</t>
  </si>
  <si>
    <t xml:space="preserve">Identificados da referência</t>
  </si>
  <si>
    <t xml:space="preserve">Razão gerados / referência (48)</t>
  </si>
  <si>
    <t xml:space="preserve">6. Correspondência com a especificação de referência (todos os elementos gerados)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</si>
</sst>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FFE9CC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FE9CC"/>
      </patternFill>
    </fill>
    <fill>
      <patternFill patternType="solid">
        <fgColor rgb="FFFFE9CC"/>
        <bgColor rgb="FFFFF2CC"/>
      </patternFill>
    </fill>
    <fill>
      <patternFill patternType="solid">
        <fgColor rgb="FFD9E2F3"/>
        <bgColor rgb="FFE2EFDA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>
        <color rgb="FFB4BFD0"/>
      </left>
      <right style="thin">
        <color rgb="FFB4BFD0"/>
      </right>
      <top style="thin">
        <color rgb="FFB4BFD0"/>
      </top>
      <bottom style="thin">
        <color rgb="FFB4BFD0"/>
      </bottom>
      <diagonal/>
    </border>
    <border diagonalUp="false" diagonalDown="false">
      <left style="thin">
        <color rgb="FFB4BFD0"/>
      </left>
      <right style="thin">
        <color rgb="FFB4BFD0"/>
      </right>
      <top style="thin">
        <color rgb="FFB4BFD0"/>
      </top>
      <bottom/>
      <diagonal/>
    </border>
    <border diagonalUp="false" diagonalDown="false">
      <left style="medium"/>
      <right style="thin">
        <color rgb="FFB4BFD0"/>
      </right>
      <top style="medium"/>
      <bottom style="thin"/>
      <diagonal/>
    </border>
    <border diagonalUp="false" diagonalDown="false">
      <left style="thin">
        <color rgb="FFB4BFD0"/>
      </left>
      <right style="thin">
        <color rgb="FFB4BFD0"/>
      </right>
      <top style="medium"/>
      <bottom style="thin"/>
      <diagonal/>
    </border>
    <border diagonalUp="false" diagonalDown="false">
      <left style="thin">
        <color rgb="FFB4BFD0"/>
      </left>
      <right style="medium"/>
      <top style="medium"/>
      <bottom style="thin"/>
      <diagonal/>
    </border>
    <border diagonalUp="false" diagonalDown="false">
      <left style="medium"/>
      <right style="thin">
        <color rgb="FFB4BFD0"/>
      </right>
      <top/>
      <bottom style="thin">
        <color rgb="FFB4BFD0"/>
      </bottom>
      <diagonal/>
    </border>
    <border diagonalUp="false" diagonalDown="false">
      <left style="thin">
        <color rgb="FFB4BFD0"/>
      </left>
      <right style="thin">
        <color rgb="FFB4BFD0"/>
      </right>
      <top/>
      <bottom style="thin">
        <color rgb="FFB4BFD0"/>
      </bottom>
      <diagonal/>
    </border>
    <border diagonalUp="false" diagonalDown="false">
      <left style="thin">
        <color rgb="FFB4BFD0"/>
      </left>
      <right style="medium"/>
      <top/>
      <bottom style="thin">
        <color rgb="FFB4BFD0"/>
      </bottom>
      <diagonal/>
    </border>
    <border diagonalUp="false" diagonalDown="false">
      <left style="medium"/>
      <right style="thin">
        <color rgb="FFB4BFD0"/>
      </right>
      <top style="thin">
        <color rgb="FFB4BFD0"/>
      </top>
      <bottom style="thin">
        <color rgb="FFB4BFD0"/>
      </bottom>
      <diagonal/>
    </border>
    <border diagonalUp="false" diagonalDown="false">
      <left style="thin">
        <color rgb="FFB4BFD0"/>
      </left>
      <right style="medium"/>
      <top style="thin">
        <color rgb="FFB4BFD0"/>
      </top>
      <bottom style="thin">
        <color rgb="FFB4BFD0"/>
      </bottom>
      <diagonal/>
    </border>
    <border diagonalUp="false" diagonalDown="false">
      <left style="medium"/>
      <right style="thin">
        <color rgb="FFB4BFD0"/>
      </right>
      <top style="thin">
        <color rgb="FFB4BFD0"/>
      </top>
      <bottom style="medium"/>
      <diagonal/>
    </border>
    <border diagonalUp="false" diagonalDown="false">
      <left style="thin">
        <color rgb="FFB4BFD0"/>
      </left>
      <right style="thin">
        <color rgb="FFB4BFD0"/>
      </right>
      <top style="thin">
        <color rgb="FFB4BFD0"/>
      </top>
      <bottom style="medium"/>
      <diagonal/>
    </border>
    <border diagonalUp="false" diagonalDown="false">
      <left style="thin">
        <color rgb="FFB4BFD0"/>
      </left>
      <right style="medium"/>
      <top style="thin">
        <color rgb="FFB4BFD0"/>
      </top>
      <bottom style="medium"/>
      <diagonal/>
    </border>
    <border diagonalUp="false" diagonalDown="false">
      <left style="medium"/>
      <right style="thin">
        <color rgb="FFB4BFD0"/>
      </right>
      <top style="medium"/>
      <bottom style="thin">
        <color rgb="FFB4BFD0"/>
      </bottom>
      <diagonal/>
    </border>
    <border diagonalUp="false" diagonalDown="false">
      <left style="thin">
        <color rgb="FFB4BFD0"/>
      </left>
      <right style="thin">
        <color rgb="FFB4BFD0"/>
      </right>
      <top style="medium"/>
      <bottom style="thin">
        <color rgb="FFB4BFD0"/>
      </bottom>
      <diagonal/>
    </border>
    <border diagonalUp="false" diagonalDown="false">
      <left style="thin">
        <color rgb="FFB4BFD0"/>
      </left>
      <right style="medium"/>
      <top style="medium"/>
      <bottom style="thin">
        <color rgb="FFB4BFD0"/>
      </bottom>
      <diagonal/>
    </border>
    <border diagonalUp="false" diagonalDown="false">
      <left style="thin"/>
      <right style="thin">
        <color rgb="FFB4BFD0"/>
      </right>
      <top style="thin"/>
      <bottom style="thin">
        <color rgb="FFB4BFD0"/>
      </bottom>
      <diagonal/>
    </border>
    <border diagonalUp="false" diagonalDown="false">
      <left style="thin">
        <color rgb="FFB4BFD0"/>
      </left>
      <right style="thin">
        <color rgb="FFB4BFD0"/>
      </right>
      <top style="thin"/>
      <bottom style="thin">
        <color rgb="FFB4BFD0"/>
      </bottom>
      <diagonal/>
    </border>
    <border diagonalUp="false" diagonalDown="false">
      <left style="thin">
        <color rgb="FFB4BFD0"/>
      </left>
      <right style="thin"/>
      <top style="thin"/>
      <bottom style="thin">
        <color rgb="FFB4BFD0"/>
      </bottom>
      <diagonal/>
    </border>
    <border diagonalUp="false" diagonalDown="false">
      <left style="thin"/>
      <right style="thin">
        <color rgb="FFB4BFD0"/>
      </right>
      <top style="thin">
        <color rgb="FFB4BFD0"/>
      </top>
      <bottom style="thin">
        <color rgb="FFB4BFD0"/>
      </bottom>
      <diagonal/>
    </border>
    <border diagonalUp="false" diagonalDown="false">
      <left style="thin">
        <color rgb="FFB4BFD0"/>
      </left>
      <right style="thin"/>
      <top style="thin">
        <color rgb="FFB4BFD0"/>
      </top>
      <bottom style="thin">
        <color rgb="FFB4BFD0"/>
      </bottom>
      <diagonal/>
    </border>
    <border diagonalUp="false" diagonalDown="false">
      <left style="thin"/>
      <right style="thin">
        <color rgb="FFB4BFD0"/>
      </right>
      <top style="thin">
        <color rgb="FFB4BFD0"/>
      </top>
      <bottom style="thin"/>
      <diagonal/>
    </border>
    <border diagonalUp="false" diagonalDown="false">
      <left style="thin">
        <color rgb="FFB4BFD0"/>
      </left>
      <right style="thin">
        <color rgb="FFB4BFD0"/>
      </right>
      <top style="thin">
        <color rgb="FFB4BFD0"/>
      </top>
      <bottom style="thin"/>
      <diagonal/>
    </border>
    <border diagonalUp="false" diagonalDown="false">
      <left style="thin">
        <color rgb="FFB4BFD0"/>
      </left>
      <right style="thin"/>
      <top style="thin">
        <color rgb="FFB4BFD0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FD0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9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5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17.71"/>
    <col collapsed="false" customWidth="true" hidden="false" outlineLevel="0" max="10" min="10" style="0" width="15"/>
    <col collapsed="false" customWidth="true" hidden="false" outlineLevel="0" max="11" min="11" style="0" width="70"/>
    <col collapsed="false" customWidth="true" hidden="false" outlineLevel="0" max="12" min="12" style="0" width="14"/>
    <col collapsed="false" customWidth="true" hidden="false" outlineLevel="0" max="16" min="13" style="0" width="6.4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3.75" hidden="false" customHeight="true" outlineLevel="0" collapsed="false">
      <c r="A2" s="3" t="s">
        <v>12</v>
      </c>
      <c r="B2" s="4" t="s">
        <v>13</v>
      </c>
      <c r="C2" s="3" t="s">
        <v>14</v>
      </c>
      <c r="D2" s="4" t="s">
        <v>15</v>
      </c>
      <c r="E2" s="3" t="s">
        <v>16</v>
      </c>
      <c r="F2" s="5" t="s">
        <v>14</v>
      </c>
      <c r="G2" s="6" t="s">
        <v>17</v>
      </c>
      <c r="H2" s="5" t="s">
        <v>16</v>
      </c>
      <c r="I2" s="5" t="s">
        <v>18</v>
      </c>
      <c r="J2" s="5" t="s">
        <v>19</v>
      </c>
      <c r="K2" s="6"/>
      <c r="L2" s="7"/>
      <c r="M2" s="7"/>
      <c r="N2" s="7"/>
      <c r="O2" s="7"/>
      <c r="P2" s="7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8.75" hidden="false" customHeight="true" outlineLevel="0" collapsed="false">
      <c r="A3" s="3" t="s">
        <v>12</v>
      </c>
      <c r="B3" s="4" t="s">
        <v>13</v>
      </c>
      <c r="C3" s="3" t="s">
        <v>20</v>
      </c>
      <c r="D3" s="4" t="s">
        <v>21</v>
      </c>
      <c r="E3" s="3" t="s">
        <v>22</v>
      </c>
      <c r="F3" s="5" t="s">
        <v>20</v>
      </c>
      <c r="G3" s="6" t="s">
        <v>23</v>
      </c>
      <c r="H3" s="5" t="s">
        <v>22</v>
      </c>
      <c r="I3" s="5" t="s">
        <v>18</v>
      </c>
      <c r="J3" s="5" t="s">
        <v>19</v>
      </c>
      <c r="K3" s="6"/>
      <c r="L3" s="7"/>
      <c r="M3" s="7"/>
      <c r="N3" s="7"/>
      <c r="O3" s="7"/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48.75" hidden="false" customHeight="true" outlineLevel="0" collapsed="false">
      <c r="A4" s="3" t="s">
        <v>12</v>
      </c>
      <c r="B4" s="4" t="s">
        <v>13</v>
      </c>
      <c r="C4" s="3" t="s">
        <v>24</v>
      </c>
      <c r="D4" s="4" t="s">
        <v>25</v>
      </c>
      <c r="E4" s="3" t="s">
        <v>22</v>
      </c>
      <c r="F4" s="8"/>
      <c r="G4" s="9"/>
      <c r="H4" s="8"/>
      <c r="I4" s="8" t="s">
        <v>26</v>
      </c>
      <c r="J4" s="8"/>
      <c r="K4" s="9" t="s">
        <v>27</v>
      </c>
      <c r="L4" s="7"/>
      <c r="M4" s="10"/>
      <c r="N4" s="7"/>
      <c r="O4" s="10"/>
      <c r="P4" s="10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48.75" hidden="false" customHeight="true" outlineLevel="0" collapsed="false">
      <c r="A5" s="3" t="s">
        <v>12</v>
      </c>
      <c r="B5" s="4" t="s">
        <v>13</v>
      </c>
      <c r="C5" s="3" t="s">
        <v>28</v>
      </c>
      <c r="D5" s="4" t="s">
        <v>29</v>
      </c>
      <c r="E5" s="3" t="s">
        <v>22</v>
      </c>
      <c r="F5" s="5" t="s">
        <v>24</v>
      </c>
      <c r="G5" s="6" t="s">
        <v>30</v>
      </c>
      <c r="H5" s="5" t="s">
        <v>22</v>
      </c>
      <c r="I5" s="5" t="s">
        <v>18</v>
      </c>
      <c r="J5" s="5" t="s">
        <v>19</v>
      </c>
      <c r="K5" s="6" t="s">
        <v>31</v>
      </c>
      <c r="L5" s="7"/>
      <c r="M5" s="7"/>
      <c r="N5" s="7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48.75" hidden="false" customHeight="true" outlineLevel="0" collapsed="false">
      <c r="A6" s="3" t="s">
        <v>12</v>
      </c>
      <c r="B6" s="4" t="s">
        <v>13</v>
      </c>
      <c r="C6" s="3" t="s">
        <v>32</v>
      </c>
      <c r="D6" s="4" t="s">
        <v>33</v>
      </c>
      <c r="E6" s="3" t="s">
        <v>34</v>
      </c>
      <c r="F6" s="5" t="s">
        <v>32</v>
      </c>
      <c r="G6" s="6" t="s">
        <v>35</v>
      </c>
      <c r="H6" s="5" t="s">
        <v>34</v>
      </c>
      <c r="I6" s="5" t="s">
        <v>18</v>
      </c>
      <c r="J6" s="5" t="s">
        <v>19</v>
      </c>
      <c r="K6" s="6" t="s">
        <v>36</v>
      </c>
      <c r="L6" s="7"/>
      <c r="M6" s="7"/>
      <c r="N6" s="7"/>
      <c r="O6" s="10"/>
      <c r="P6" s="10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3.75" hidden="false" customHeight="true" outlineLevel="0" collapsed="false">
      <c r="A7" s="11" t="s">
        <v>12</v>
      </c>
      <c r="B7" s="12" t="s">
        <v>13</v>
      </c>
      <c r="C7" s="11" t="s">
        <v>37</v>
      </c>
      <c r="D7" s="12" t="s">
        <v>38</v>
      </c>
      <c r="E7" s="11" t="s">
        <v>34</v>
      </c>
      <c r="F7" s="13"/>
      <c r="G7" s="14"/>
      <c r="H7" s="13"/>
      <c r="I7" s="13" t="s">
        <v>26</v>
      </c>
      <c r="J7" s="13"/>
      <c r="K7" s="14" t="s">
        <v>39</v>
      </c>
      <c r="L7" s="7"/>
      <c r="M7" s="7"/>
      <c r="N7" s="7"/>
      <c r="O7" s="10"/>
      <c r="P7" s="10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.75" hidden="false" customHeight="true" outlineLevel="0" collapsed="false">
      <c r="A8" s="15" t="s">
        <v>40</v>
      </c>
      <c r="B8" s="16" t="s">
        <v>41</v>
      </c>
      <c r="C8" s="17" t="s">
        <v>14</v>
      </c>
      <c r="D8" s="16" t="s">
        <v>42</v>
      </c>
      <c r="E8" s="17" t="s">
        <v>16</v>
      </c>
      <c r="F8" s="18"/>
      <c r="G8" s="19"/>
      <c r="H8" s="18"/>
      <c r="I8" s="18" t="s">
        <v>26</v>
      </c>
      <c r="J8" s="18"/>
      <c r="K8" s="20" t="s">
        <v>43</v>
      </c>
      <c r="L8" s="7"/>
      <c r="M8" s="7"/>
      <c r="N8" s="7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.75" hidden="false" customHeight="true" outlineLevel="0" collapsed="false">
      <c r="A9" s="21" t="s">
        <v>40</v>
      </c>
      <c r="B9" s="22" t="s">
        <v>41</v>
      </c>
      <c r="C9" s="23" t="s">
        <v>44</v>
      </c>
      <c r="D9" s="22" t="s">
        <v>45</v>
      </c>
      <c r="E9" s="23" t="s">
        <v>16</v>
      </c>
      <c r="F9" s="24" t="s">
        <v>14</v>
      </c>
      <c r="G9" s="25" t="s">
        <v>46</v>
      </c>
      <c r="H9" s="24" t="s">
        <v>16</v>
      </c>
      <c r="I9" s="24" t="s">
        <v>18</v>
      </c>
      <c r="J9" s="24" t="s">
        <v>19</v>
      </c>
      <c r="K9" s="26" t="s">
        <v>47</v>
      </c>
      <c r="L9" s="7"/>
      <c r="M9" s="7"/>
      <c r="N9" s="7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8.75" hidden="false" customHeight="true" outlineLevel="0" collapsed="false">
      <c r="A10" s="27" t="s">
        <v>40</v>
      </c>
      <c r="B10" s="28" t="s">
        <v>41</v>
      </c>
      <c r="C10" s="29" t="s">
        <v>20</v>
      </c>
      <c r="D10" s="28" t="s">
        <v>48</v>
      </c>
      <c r="E10" s="29" t="s">
        <v>22</v>
      </c>
      <c r="F10" s="5" t="s">
        <v>28</v>
      </c>
      <c r="G10" s="6" t="s">
        <v>49</v>
      </c>
      <c r="H10" s="5" t="s">
        <v>22</v>
      </c>
      <c r="I10" s="5" t="s">
        <v>18</v>
      </c>
      <c r="J10" s="5" t="s">
        <v>19</v>
      </c>
      <c r="K10" s="30"/>
      <c r="L10" s="7"/>
      <c r="M10" s="7"/>
      <c r="N10" s="7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3.75" hidden="false" customHeight="true" outlineLevel="0" collapsed="false">
      <c r="A11" s="27" t="s">
        <v>40</v>
      </c>
      <c r="B11" s="28" t="s">
        <v>41</v>
      </c>
      <c r="C11" s="29" t="s">
        <v>24</v>
      </c>
      <c r="D11" s="28" t="s">
        <v>50</v>
      </c>
      <c r="E11" s="29" t="s">
        <v>22</v>
      </c>
      <c r="F11" s="8"/>
      <c r="G11" s="9"/>
      <c r="H11" s="8"/>
      <c r="I11" s="8" t="s">
        <v>26</v>
      </c>
      <c r="J11" s="8"/>
      <c r="K11" s="31" t="s">
        <v>51</v>
      </c>
      <c r="L11" s="7"/>
      <c r="M11" s="7"/>
      <c r="N11" s="7"/>
      <c r="O11" s="7"/>
      <c r="P11" s="7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3.75" hidden="false" customHeight="true" outlineLevel="0" collapsed="false">
      <c r="A12" s="32" t="s">
        <v>40</v>
      </c>
      <c r="B12" s="33" t="s">
        <v>41</v>
      </c>
      <c r="C12" s="34" t="s">
        <v>28</v>
      </c>
      <c r="D12" s="33" t="s">
        <v>52</v>
      </c>
      <c r="E12" s="34" t="s">
        <v>22</v>
      </c>
      <c r="F12" s="35" t="s">
        <v>44</v>
      </c>
      <c r="G12" s="36" t="s">
        <v>53</v>
      </c>
      <c r="H12" s="35" t="s">
        <v>16</v>
      </c>
      <c r="I12" s="35" t="s">
        <v>18</v>
      </c>
      <c r="J12" s="35" t="s">
        <v>54</v>
      </c>
      <c r="K12" s="37" t="s">
        <v>55</v>
      </c>
      <c r="L12" s="7"/>
      <c r="M12" s="7"/>
      <c r="N12" s="7"/>
      <c r="O12" s="7"/>
      <c r="P12" s="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3.75" hidden="false" customHeight="true" outlineLevel="0" collapsed="false">
      <c r="A13" s="38" t="s">
        <v>56</v>
      </c>
      <c r="B13" s="39" t="s">
        <v>57</v>
      </c>
      <c r="C13" s="38" t="s">
        <v>20</v>
      </c>
      <c r="D13" s="39" t="s">
        <v>58</v>
      </c>
      <c r="E13" s="38" t="s">
        <v>22</v>
      </c>
      <c r="F13" s="24" t="s">
        <v>24</v>
      </c>
      <c r="G13" s="25" t="s">
        <v>59</v>
      </c>
      <c r="H13" s="24" t="s">
        <v>22</v>
      </c>
      <c r="I13" s="24" t="s">
        <v>18</v>
      </c>
      <c r="J13" s="24" t="s">
        <v>19</v>
      </c>
      <c r="K13" s="25"/>
      <c r="L13" s="7"/>
      <c r="M13" s="7"/>
      <c r="N13" s="7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3.75" hidden="false" customHeight="true" outlineLevel="0" collapsed="false">
      <c r="A14" s="3" t="s">
        <v>56</v>
      </c>
      <c r="B14" s="4" t="s">
        <v>57</v>
      </c>
      <c r="C14" s="3" t="s">
        <v>24</v>
      </c>
      <c r="D14" s="4" t="s">
        <v>60</v>
      </c>
      <c r="E14" s="3" t="s">
        <v>22</v>
      </c>
      <c r="F14" s="5" t="s">
        <v>28</v>
      </c>
      <c r="G14" s="6" t="s">
        <v>61</v>
      </c>
      <c r="H14" s="5" t="s">
        <v>22</v>
      </c>
      <c r="I14" s="5" t="s">
        <v>18</v>
      </c>
      <c r="J14" s="5" t="s">
        <v>19</v>
      </c>
      <c r="K14" s="6"/>
      <c r="L14" s="7"/>
      <c r="M14" s="7"/>
      <c r="N14" s="7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3.75" hidden="false" customHeight="true" outlineLevel="0" collapsed="false">
      <c r="A15" s="3" t="s">
        <v>56</v>
      </c>
      <c r="B15" s="4" t="s">
        <v>57</v>
      </c>
      <c r="C15" s="3" t="s">
        <v>28</v>
      </c>
      <c r="D15" s="4" t="s">
        <v>62</v>
      </c>
      <c r="E15" s="3" t="s">
        <v>22</v>
      </c>
      <c r="F15" s="8"/>
      <c r="G15" s="9"/>
      <c r="H15" s="8"/>
      <c r="I15" s="8" t="s">
        <v>26</v>
      </c>
      <c r="J15" s="8"/>
      <c r="K15" s="9" t="s">
        <v>63</v>
      </c>
      <c r="L15" s="7"/>
      <c r="M15" s="7"/>
      <c r="N15" s="7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8.75" hidden="false" customHeight="true" outlineLevel="0" collapsed="false">
      <c r="A16" s="11" t="s">
        <v>56</v>
      </c>
      <c r="B16" s="12" t="s">
        <v>57</v>
      </c>
      <c r="C16" s="11" t="s">
        <v>64</v>
      </c>
      <c r="D16" s="12" t="s">
        <v>65</v>
      </c>
      <c r="E16" s="11" t="s">
        <v>66</v>
      </c>
      <c r="F16" s="40" t="s">
        <v>14</v>
      </c>
      <c r="G16" s="41" t="s">
        <v>67</v>
      </c>
      <c r="H16" s="40" t="s">
        <v>16</v>
      </c>
      <c r="I16" s="40" t="s">
        <v>18</v>
      </c>
      <c r="J16" s="40" t="s">
        <v>54</v>
      </c>
      <c r="K16" s="41" t="s">
        <v>68</v>
      </c>
      <c r="L16" s="7"/>
      <c r="M16" s="7"/>
      <c r="N16" s="7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3.75" hidden="false" customHeight="true" outlineLevel="0" collapsed="false">
      <c r="A17" s="42" t="s">
        <v>69</v>
      </c>
      <c r="B17" s="43" t="s">
        <v>70</v>
      </c>
      <c r="C17" s="44" t="s">
        <v>14</v>
      </c>
      <c r="D17" s="43" t="s">
        <v>71</v>
      </c>
      <c r="E17" s="44" t="s">
        <v>16</v>
      </c>
      <c r="F17" s="45" t="s">
        <v>44</v>
      </c>
      <c r="G17" s="46" t="s">
        <v>72</v>
      </c>
      <c r="H17" s="45" t="s">
        <v>16</v>
      </c>
      <c r="I17" s="45" t="s">
        <v>18</v>
      </c>
      <c r="J17" s="45" t="s">
        <v>19</v>
      </c>
      <c r="K17" s="47"/>
      <c r="L17" s="7"/>
      <c r="M17" s="7"/>
      <c r="N17" s="7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8.75" hidden="false" customHeight="true" outlineLevel="0" collapsed="false">
      <c r="A18" s="27" t="s">
        <v>69</v>
      </c>
      <c r="B18" s="28" t="s">
        <v>70</v>
      </c>
      <c r="C18" s="29" t="s">
        <v>20</v>
      </c>
      <c r="D18" s="28" t="s">
        <v>73</v>
      </c>
      <c r="E18" s="29" t="s">
        <v>22</v>
      </c>
      <c r="F18" s="5" t="s">
        <v>20</v>
      </c>
      <c r="G18" s="6" t="s">
        <v>74</v>
      </c>
      <c r="H18" s="5" t="s">
        <v>22</v>
      </c>
      <c r="I18" s="5" t="s">
        <v>18</v>
      </c>
      <c r="J18" s="5" t="s">
        <v>19</v>
      </c>
      <c r="K18" s="30"/>
      <c r="L18" s="7"/>
      <c r="M18" s="7"/>
      <c r="N18" s="7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33.75" hidden="false" customHeight="true" outlineLevel="0" collapsed="false">
      <c r="A19" s="27" t="s">
        <v>69</v>
      </c>
      <c r="B19" s="28" t="s">
        <v>70</v>
      </c>
      <c r="C19" s="29" t="s">
        <v>24</v>
      </c>
      <c r="D19" s="28" t="s">
        <v>75</v>
      </c>
      <c r="E19" s="29" t="s">
        <v>22</v>
      </c>
      <c r="F19" s="8"/>
      <c r="G19" s="9"/>
      <c r="H19" s="8"/>
      <c r="I19" s="8" t="s">
        <v>26</v>
      </c>
      <c r="J19" s="8"/>
      <c r="K19" s="31" t="s">
        <v>76</v>
      </c>
      <c r="L19" s="7"/>
      <c r="M19" s="7"/>
      <c r="N19" s="7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3.75" hidden="false" customHeight="true" outlineLevel="0" collapsed="false">
      <c r="A20" s="27" t="s">
        <v>69</v>
      </c>
      <c r="B20" s="28" t="s">
        <v>70</v>
      </c>
      <c r="C20" s="29" t="s">
        <v>28</v>
      </c>
      <c r="D20" s="28" t="s">
        <v>77</v>
      </c>
      <c r="E20" s="29" t="s">
        <v>22</v>
      </c>
      <c r="F20" s="8"/>
      <c r="G20" s="9"/>
      <c r="H20" s="8"/>
      <c r="I20" s="8" t="s">
        <v>26</v>
      </c>
      <c r="J20" s="8"/>
      <c r="K20" s="31" t="s">
        <v>78</v>
      </c>
      <c r="L20" s="7"/>
      <c r="M20" s="7"/>
      <c r="N20" s="7"/>
      <c r="O20" s="7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48.75" hidden="false" customHeight="true" outlineLevel="0" collapsed="false">
      <c r="A21" s="32" t="s">
        <v>69</v>
      </c>
      <c r="B21" s="33" t="s">
        <v>70</v>
      </c>
      <c r="C21" s="34" t="s">
        <v>64</v>
      </c>
      <c r="D21" s="33" t="s">
        <v>79</v>
      </c>
      <c r="E21" s="34" t="s">
        <v>66</v>
      </c>
      <c r="F21" s="35" t="s">
        <v>14</v>
      </c>
      <c r="G21" s="36" t="s">
        <v>80</v>
      </c>
      <c r="H21" s="35" t="s">
        <v>16</v>
      </c>
      <c r="I21" s="35" t="s">
        <v>18</v>
      </c>
      <c r="J21" s="35" t="s">
        <v>54</v>
      </c>
      <c r="K21" s="37" t="s">
        <v>68</v>
      </c>
      <c r="L21" s="7"/>
      <c r="M21" s="7"/>
      <c r="N21" s="7"/>
      <c r="O21" s="7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3.75" hidden="false" customHeight="true" outlineLevel="0" collapsed="false">
      <c r="A22" s="38" t="s">
        <v>81</v>
      </c>
      <c r="B22" s="39" t="s">
        <v>82</v>
      </c>
      <c r="C22" s="38" t="s">
        <v>14</v>
      </c>
      <c r="D22" s="39" t="s">
        <v>83</v>
      </c>
      <c r="E22" s="38" t="s">
        <v>16</v>
      </c>
      <c r="F22" s="24" t="s">
        <v>14</v>
      </c>
      <c r="G22" s="25" t="s">
        <v>84</v>
      </c>
      <c r="H22" s="24" t="s">
        <v>16</v>
      </c>
      <c r="I22" s="24" t="s">
        <v>18</v>
      </c>
      <c r="J22" s="24" t="s">
        <v>19</v>
      </c>
      <c r="K22" s="25"/>
      <c r="L22" s="7"/>
      <c r="M22" s="7"/>
      <c r="N22" s="7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3.75" hidden="false" customHeight="true" outlineLevel="0" collapsed="false">
      <c r="A23" s="3" t="s">
        <v>81</v>
      </c>
      <c r="B23" s="4" t="s">
        <v>82</v>
      </c>
      <c r="C23" s="3" t="s">
        <v>20</v>
      </c>
      <c r="D23" s="4" t="s">
        <v>85</v>
      </c>
      <c r="E23" s="3" t="s">
        <v>22</v>
      </c>
      <c r="F23" s="5" t="s">
        <v>20</v>
      </c>
      <c r="G23" s="6" t="s">
        <v>86</v>
      </c>
      <c r="H23" s="5" t="s">
        <v>22</v>
      </c>
      <c r="I23" s="5" t="s">
        <v>18</v>
      </c>
      <c r="J23" s="5" t="s">
        <v>19</v>
      </c>
      <c r="K23" s="6"/>
      <c r="L23" s="7"/>
      <c r="M23" s="7"/>
      <c r="N23" s="7"/>
      <c r="O23" s="7"/>
      <c r="P23" s="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48.75" hidden="false" customHeight="true" outlineLevel="0" collapsed="false">
      <c r="A24" s="3" t="s">
        <v>81</v>
      </c>
      <c r="B24" s="4" t="s">
        <v>82</v>
      </c>
      <c r="C24" s="3" t="s">
        <v>24</v>
      </c>
      <c r="D24" s="4" t="s">
        <v>87</v>
      </c>
      <c r="E24" s="3" t="s">
        <v>22</v>
      </c>
      <c r="F24" s="5" t="s">
        <v>24</v>
      </c>
      <c r="G24" s="6" t="s">
        <v>88</v>
      </c>
      <c r="H24" s="5" t="s">
        <v>22</v>
      </c>
      <c r="I24" s="5" t="s">
        <v>18</v>
      </c>
      <c r="J24" s="5" t="s">
        <v>19</v>
      </c>
      <c r="K24" s="6"/>
      <c r="L24" s="7"/>
      <c r="M24" s="7"/>
      <c r="N24" s="7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48.75" hidden="false" customHeight="true" outlineLevel="0" collapsed="false">
      <c r="A25" s="3" t="s">
        <v>81</v>
      </c>
      <c r="B25" s="4" t="s">
        <v>82</v>
      </c>
      <c r="C25" s="3" t="s">
        <v>32</v>
      </c>
      <c r="D25" s="4" t="s">
        <v>89</v>
      </c>
      <c r="E25" s="3" t="s">
        <v>34</v>
      </c>
      <c r="F25" s="5" t="s">
        <v>32</v>
      </c>
      <c r="G25" s="6" t="s">
        <v>90</v>
      </c>
      <c r="H25" s="5" t="s">
        <v>34</v>
      </c>
      <c r="I25" s="5" t="s">
        <v>18</v>
      </c>
      <c r="J25" s="5" t="s">
        <v>19</v>
      </c>
      <c r="K25" s="6"/>
      <c r="L25" s="7"/>
      <c r="M25" s="7"/>
      <c r="N25" s="7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3.75" hidden="false" customHeight="true" outlineLevel="0" collapsed="false">
      <c r="A26" s="11" t="s">
        <v>81</v>
      </c>
      <c r="B26" s="12" t="s">
        <v>82</v>
      </c>
      <c r="C26" s="11" t="s">
        <v>64</v>
      </c>
      <c r="D26" s="12" t="s">
        <v>91</v>
      </c>
      <c r="E26" s="11" t="s">
        <v>66</v>
      </c>
      <c r="F26" s="13"/>
      <c r="G26" s="14"/>
      <c r="H26" s="13"/>
      <c r="I26" s="13" t="s">
        <v>26</v>
      </c>
      <c r="J26" s="13"/>
      <c r="K26" s="14" t="s">
        <v>92</v>
      </c>
      <c r="L26" s="7"/>
      <c r="M26" s="7"/>
      <c r="N26" s="7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48.75" hidden="false" customHeight="true" outlineLevel="0" collapsed="false">
      <c r="A27" s="42" t="s">
        <v>93</v>
      </c>
      <c r="B27" s="43" t="s">
        <v>94</v>
      </c>
      <c r="C27" s="44" t="s">
        <v>14</v>
      </c>
      <c r="D27" s="43" t="s">
        <v>95</v>
      </c>
      <c r="E27" s="44" t="s">
        <v>16</v>
      </c>
      <c r="F27" s="45" t="s">
        <v>14</v>
      </c>
      <c r="G27" s="46" t="s">
        <v>96</v>
      </c>
      <c r="H27" s="45" t="s">
        <v>16</v>
      </c>
      <c r="I27" s="45" t="s">
        <v>18</v>
      </c>
      <c r="J27" s="45" t="s">
        <v>19</v>
      </c>
      <c r="K27" s="47" t="s">
        <v>97</v>
      </c>
      <c r="L27" s="7"/>
      <c r="M27" s="7"/>
      <c r="N27" s="7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3.75" hidden="false" customHeight="true" outlineLevel="0" collapsed="false">
      <c r="A28" s="27" t="s">
        <v>93</v>
      </c>
      <c r="B28" s="28" t="s">
        <v>94</v>
      </c>
      <c r="C28" s="29" t="s">
        <v>20</v>
      </c>
      <c r="D28" s="28" t="s">
        <v>98</v>
      </c>
      <c r="E28" s="29" t="s">
        <v>22</v>
      </c>
      <c r="F28" s="5" t="s">
        <v>20</v>
      </c>
      <c r="G28" s="6" t="s">
        <v>99</v>
      </c>
      <c r="H28" s="5" t="s">
        <v>22</v>
      </c>
      <c r="I28" s="5" t="s">
        <v>18</v>
      </c>
      <c r="J28" s="5" t="s">
        <v>19</v>
      </c>
      <c r="K28" s="30"/>
      <c r="L28" s="7"/>
      <c r="M28" s="7"/>
      <c r="N28" s="7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48.75" hidden="false" customHeight="true" outlineLevel="0" collapsed="false">
      <c r="A29" s="27" t="s">
        <v>93</v>
      </c>
      <c r="B29" s="28" t="s">
        <v>94</v>
      </c>
      <c r="C29" s="29" t="s">
        <v>24</v>
      </c>
      <c r="D29" s="28" t="s">
        <v>100</v>
      </c>
      <c r="E29" s="29" t="s">
        <v>22</v>
      </c>
      <c r="F29" s="5" t="s">
        <v>24</v>
      </c>
      <c r="G29" s="6" t="s">
        <v>101</v>
      </c>
      <c r="H29" s="5" t="s">
        <v>22</v>
      </c>
      <c r="I29" s="5" t="s">
        <v>18</v>
      </c>
      <c r="J29" s="5" t="s">
        <v>19</v>
      </c>
      <c r="K29" s="30"/>
      <c r="L29" s="7"/>
      <c r="M29" s="7"/>
      <c r="N29" s="7"/>
      <c r="O29" s="7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63.75" hidden="false" customHeight="true" outlineLevel="0" collapsed="false">
      <c r="A30" s="32" t="s">
        <v>93</v>
      </c>
      <c r="B30" s="33" t="s">
        <v>94</v>
      </c>
      <c r="C30" s="34" t="s">
        <v>64</v>
      </c>
      <c r="D30" s="33" t="s">
        <v>102</v>
      </c>
      <c r="E30" s="34" t="s">
        <v>66</v>
      </c>
      <c r="F30" s="35" t="s">
        <v>32</v>
      </c>
      <c r="G30" s="36" t="s">
        <v>103</v>
      </c>
      <c r="H30" s="35" t="s">
        <v>34</v>
      </c>
      <c r="I30" s="35" t="s">
        <v>18</v>
      </c>
      <c r="J30" s="35" t="s">
        <v>54</v>
      </c>
      <c r="K30" s="37" t="s">
        <v>104</v>
      </c>
      <c r="L30" s="7"/>
      <c r="M30" s="7"/>
      <c r="N30" s="7"/>
      <c r="O30" s="7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48.75" hidden="false" customHeight="true" outlineLevel="0" collapsed="false">
      <c r="A31" s="38" t="s">
        <v>105</v>
      </c>
      <c r="B31" s="39" t="s">
        <v>106</v>
      </c>
      <c r="C31" s="38" t="s">
        <v>14</v>
      </c>
      <c r="D31" s="39" t="s">
        <v>107</v>
      </c>
      <c r="E31" s="38" t="s">
        <v>16</v>
      </c>
      <c r="F31" s="24" t="s">
        <v>14</v>
      </c>
      <c r="G31" s="25" t="s">
        <v>108</v>
      </c>
      <c r="H31" s="24" t="s">
        <v>16</v>
      </c>
      <c r="I31" s="24" t="s">
        <v>18</v>
      </c>
      <c r="J31" s="24" t="s">
        <v>19</v>
      </c>
      <c r="K31" s="25"/>
      <c r="L31" s="7"/>
      <c r="M31" s="7"/>
      <c r="N31" s="7"/>
      <c r="O31" s="7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48.75" hidden="false" customHeight="true" outlineLevel="0" collapsed="false">
      <c r="A32" s="3" t="s">
        <v>105</v>
      </c>
      <c r="B32" s="4" t="s">
        <v>106</v>
      </c>
      <c r="C32" s="3" t="s">
        <v>20</v>
      </c>
      <c r="D32" s="4" t="s">
        <v>109</v>
      </c>
      <c r="E32" s="3" t="s">
        <v>22</v>
      </c>
      <c r="F32" s="5" t="s">
        <v>24</v>
      </c>
      <c r="G32" s="6" t="s">
        <v>110</v>
      </c>
      <c r="H32" s="5" t="s">
        <v>22</v>
      </c>
      <c r="I32" s="5" t="s">
        <v>18</v>
      </c>
      <c r="J32" s="5" t="s">
        <v>19</v>
      </c>
      <c r="K32" s="6" t="s">
        <v>111</v>
      </c>
      <c r="L32" s="7"/>
      <c r="M32" s="7"/>
      <c r="N32" s="7"/>
      <c r="O32" s="7"/>
      <c r="P32" s="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48.75" hidden="false" customHeight="true" outlineLevel="0" collapsed="false">
      <c r="A33" s="11" t="s">
        <v>105</v>
      </c>
      <c r="B33" s="12" t="s">
        <v>106</v>
      </c>
      <c r="C33" s="11" t="s">
        <v>32</v>
      </c>
      <c r="D33" s="12" t="s">
        <v>112</v>
      </c>
      <c r="E33" s="11" t="s">
        <v>34</v>
      </c>
      <c r="F33" s="48" t="s">
        <v>32</v>
      </c>
      <c r="G33" s="49" t="s">
        <v>113</v>
      </c>
      <c r="H33" s="48" t="s">
        <v>34</v>
      </c>
      <c r="I33" s="48" t="s">
        <v>18</v>
      </c>
      <c r="J33" s="48" t="s">
        <v>19</v>
      </c>
      <c r="K33" s="49"/>
      <c r="L33" s="7"/>
      <c r="M33" s="7"/>
      <c r="N33" s="7"/>
      <c r="O33" s="7"/>
      <c r="P33" s="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63.75" hidden="false" customHeight="true" outlineLevel="0" collapsed="false">
      <c r="A34" s="42" t="s">
        <v>114</v>
      </c>
      <c r="B34" s="43" t="s">
        <v>115</v>
      </c>
      <c r="C34" s="44" t="s">
        <v>14</v>
      </c>
      <c r="D34" s="43" t="s">
        <v>116</v>
      </c>
      <c r="E34" s="44" t="s">
        <v>16</v>
      </c>
      <c r="F34" s="50"/>
      <c r="G34" s="51"/>
      <c r="H34" s="50"/>
      <c r="I34" s="50" t="s">
        <v>26</v>
      </c>
      <c r="J34" s="50"/>
      <c r="K34" s="52" t="s">
        <v>117</v>
      </c>
      <c r="L34" s="7"/>
      <c r="M34" s="7"/>
      <c r="N34" s="7"/>
      <c r="O34" s="7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33.75" hidden="false" customHeight="true" outlineLevel="0" collapsed="false">
      <c r="A35" s="27" t="s">
        <v>114</v>
      </c>
      <c r="B35" s="28" t="s">
        <v>115</v>
      </c>
      <c r="C35" s="29" t="s">
        <v>20</v>
      </c>
      <c r="D35" s="28" t="s">
        <v>118</v>
      </c>
      <c r="E35" s="29" t="s">
        <v>22</v>
      </c>
      <c r="F35" s="5" t="s">
        <v>20</v>
      </c>
      <c r="G35" s="6" t="s">
        <v>118</v>
      </c>
      <c r="H35" s="5" t="s">
        <v>22</v>
      </c>
      <c r="I35" s="5" t="s">
        <v>18</v>
      </c>
      <c r="J35" s="5" t="s">
        <v>19</v>
      </c>
      <c r="K35" s="30"/>
      <c r="L35" s="7"/>
      <c r="M35" s="7"/>
      <c r="N35" s="7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48.75" hidden="false" customHeight="true" outlineLevel="0" collapsed="false">
      <c r="A36" s="27" t="s">
        <v>114</v>
      </c>
      <c r="B36" s="28" t="s">
        <v>115</v>
      </c>
      <c r="C36" s="29" t="s">
        <v>24</v>
      </c>
      <c r="D36" s="28" t="s">
        <v>119</v>
      </c>
      <c r="E36" s="29" t="s">
        <v>22</v>
      </c>
      <c r="F36" s="5" t="s">
        <v>24</v>
      </c>
      <c r="G36" s="6" t="s">
        <v>120</v>
      </c>
      <c r="H36" s="5" t="s">
        <v>22</v>
      </c>
      <c r="I36" s="5" t="s">
        <v>18</v>
      </c>
      <c r="J36" s="5" t="s">
        <v>19</v>
      </c>
      <c r="K36" s="30"/>
      <c r="L36" s="7"/>
      <c r="M36" s="7"/>
      <c r="N36" s="7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33.75" hidden="false" customHeight="true" outlineLevel="0" collapsed="false">
      <c r="A37" s="27" t="s">
        <v>114</v>
      </c>
      <c r="B37" s="28" t="s">
        <v>115</v>
      </c>
      <c r="C37" s="29" t="s">
        <v>28</v>
      </c>
      <c r="D37" s="28" t="s">
        <v>121</v>
      </c>
      <c r="E37" s="29" t="s">
        <v>22</v>
      </c>
      <c r="F37" s="53" t="s">
        <v>44</v>
      </c>
      <c r="G37" s="54" t="s">
        <v>122</v>
      </c>
      <c r="H37" s="53" t="s">
        <v>16</v>
      </c>
      <c r="I37" s="53" t="s">
        <v>18</v>
      </c>
      <c r="J37" s="53" t="s">
        <v>54</v>
      </c>
      <c r="K37" s="55" t="s">
        <v>55</v>
      </c>
      <c r="L37" s="7"/>
      <c r="M37" s="7"/>
      <c r="N37" s="7"/>
      <c r="O37" s="7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48.75" hidden="false" customHeight="true" outlineLevel="0" collapsed="false">
      <c r="A38" s="27" t="s">
        <v>114</v>
      </c>
      <c r="B38" s="28" t="s">
        <v>115</v>
      </c>
      <c r="C38" s="29" t="s">
        <v>123</v>
      </c>
      <c r="D38" s="28" t="s">
        <v>124</v>
      </c>
      <c r="E38" s="29" t="s">
        <v>22</v>
      </c>
      <c r="F38" s="53" t="s">
        <v>32</v>
      </c>
      <c r="G38" s="54" t="s">
        <v>125</v>
      </c>
      <c r="H38" s="53" t="s">
        <v>34</v>
      </c>
      <c r="I38" s="53" t="s">
        <v>18</v>
      </c>
      <c r="J38" s="53" t="s">
        <v>54</v>
      </c>
      <c r="K38" s="55" t="s">
        <v>126</v>
      </c>
      <c r="L38" s="7"/>
      <c r="M38" s="7"/>
      <c r="N38" s="7"/>
      <c r="O38" s="7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48.75" hidden="false" customHeight="true" outlineLevel="0" collapsed="false">
      <c r="A39" s="32" t="s">
        <v>114</v>
      </c>
      <c r="B39" s="33" t="s">
        <v>115</v>
      </c>
      <c r="C39" s="34" t="s">
        <v>64</v>
      </c>
      <c r="D39" s="33" t="s">
        <v>127</v>
      </c>
      <c r="E39" s="34" t="s">
        <v>66</v>
      </c>
      <c r="F39" s="35" t="s">
        <v>14</v>
      </c>
      <c r="G39" s="36" t="s">
        <v>128</v>
      </c>
      <c r="H39" s="35" t="s">
        <v>16</v>
      </c>
      <c r="I39" s="35" t="s">
        <v>18</v>
      </c>
      <c r="J39" s="35" t="s">
        <v>54</v>
      </c>
      <c r="K39" s="37" t="s">
        <v>68</v>
      </c>
      <c r="L39" s="7"/>
      <c r="M39" s="7"/>
      <c r="N39" s="7"/>
      <c r="O39" s="7"/>
      <c r="P39" s="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8.75" hidden="false" customHeight="true" outlineLevel="0" collapsed="false">
      <c r="A40" s="38" t="s">
        <v>129</v>
      </c>
      <c r="B40" s="39" t="s">
        <v>130</v>
      </c>
      <c r="C40" s="38" t="s">
        <v>20</v>
      </c>
      <c r="D40" s="39" t="s">
        <v>131</v>
      </c>
      <c r="E40" s="38" t="s">
        <v>22</v>
      </c>
      <c r="F40" s="24" t="s">
        <v>20</v>
      </c>
      <c r="G40" s="25" t="s">
        <v>132</v>
      </c>
      <c r="H40" s="24" t="s">
        <v>22</v>
      </c>
      <c r="I40" s="24" t="s">
        <v>18</v>
      </c>
      <c r="J40" s="24" t="s">
        <v>19</v>
      </c>
      <c r="K40" s="25"/>
      <c r="L40" s="7"/>
      <c r="M40" s="7"/>
      <c r="N40" s="7"/>
      <c r="O40" s="7"/>
      <c r="P40" s="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63.75" hidden="false" customHeight="true" outlineLevel="0" collapsed="false">
      <c r="A41" s="3" t="s">
        <v>129</v>
      </c>
      <c r="B41" s="4" t="s">
        <v>130</v>
      </c>
      <c r="C41" s="3" t="s">
        <v>24</v>
      </c>
      <c r="D41" s="4" t="s">
        <v>133</v>
      </c>
      <c r="E41" s="3" t="s">
        <v>22</v>
      </c>
      <c r="F41" s="5" t="s">
        <v>134</v>
      </c>
      <c r="G41" s="6" t="s">
        <v>135</v>
      </c>
      <c r="H41" s="5" t="s">
        <v>22</v>
      </c>
      <c r="I41" s="5" t="s">
        <v>18</v>
      </c>
      <c r="J41" s="5" t="s">
        <v>19</v>
      </c>
      <c r="K41" s="6" t="s">
        <v>136</v>
      </c>
      <c r="L41" s="7"/>
      <c r="M41" s="7"/>
      <c r="N41" s="7"/>
      <c r="O41" s="7"/>
      <c r="P41" s="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63.75" hidden="false" customHeight="true" outlineLevel="0" collapsed="false">
      <c r="A42" s="3" t="s">
        <v>129</v>
      </c>
      <c r="B42" s="4" t="s">
        <v>130</v>
      </c>
      <c r="C42" s="3" t="s">
        <v>28</v>
      </c>
      <c r="D42" s="4" t="s">
        <v>137</v>
      </c>
      <c r="E42" s="3" t="s">
        <v>22</v>
      </c>
      <c r="F42" s="5" t="s">
        <v>24</v>
      </c>
      <c r="G42" s="6" t="s">
        <v>138</v>
      </c>
      <c r="H42" s="5" t="s">
        <v>22</v>
      </c>
      <c r="I42" s="5" t="s">
        <v>18</v>
      </c>
      <c r="J42" s="5" t="s">
        <v>19</v>
      </c>
      <c r="K42" s="6" t="s">
        <v>139</v>
      </c>
      <c r="L42" s="7"/>
      <c r="M42" s="7"/>
      <c r="N42" s="7"/>
      <c r="O42" s="7"/>
      <c r="P42" s="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48.75" hidden="false" customHeight="true" outlineLevel="0" collapsed="false">
      <c r="A43" s="11" t="s">
        <v>129</v>
      </c>
      <c r="B43" s="12" t="s">
        <v>130</v>
      </c>
      <c r="C43" s="11" t="s">
        <v>64</v>
      </c>
      <c r="D43" s="12" t="s">
        <v>140</v>
      </c>
      <c r="E43" s="11" t="s">
        <v>66</v>
      </c>
      <c r="F43" s="40" t="s">
        <v>14</v>
      </c>
      <c r="G43" s="41" t="s">
        <v>141</v>
      </c>
      <c r="H43" s="40" t="s">
        <v>16</v>
      </c>
      <c r="I43" s="40" t="s">
        <v>18</v>
      </c>
      <c r="J43" s="40" t="s">
        <v>54</v>
      </c>
      <c r="K43" s="41" t="s">
        <v>68</v>
      </c>
      <c r="L43" s="7"/>
      <c r="M43" s="7"/>
      <c r="N43" s="7"/>
      <c r="O43" s="7"/>
      <c r="P43" s="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63.75" hidden="false" customHeight="true" outlineLevel="0" collapsed="false">
      <c r="A44" s="42" t="s">
        <v>142</v>
      </c>
      <c r="B44" s="43" t="s">
        <v>143</v>
      </c>
      <c r="C44" s="44" t="s">
        <v>14</v>
      </c>
      <c r="D44" s="43" t="s">
        <v>144</v>
      </c>
      <c r="E44" s="44" t="s">
        <v>16</v>
      </c>
      <c r="F44" s="50"/>
      <c r="G44" s="51"/>
      <c r="H44" s="50"/>
      <c r="I44" s="50" t="s">
        <v>26</v>
      </c>
      <c r="J44" s="50"/>
      <c r="K44" s="52" t="s">
        <v>145</v>
      </c>
      <c r="L44" s="7"/>
      <c r="M44" s="7"/>
      <c r="N44" s="7"/>
      <c r="O44" s="7"/>
      <c r="P44" s="7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48.75" hidden="false" customHeight="true" outlineLevel="0" collapsed="false">
      <c r="A45" s="27" t="s">
        <v>142</v>
      </c>
      <c r="B45" s="28" t="s">
        <v>143</v>
      </c>
      <c r="C45" s="29" t="s">
        <v>20</v>
      </c>
      <c r="D45" s="28" t="s">
        <v>146</v>
      </c>
      <c r="E45" s="29" t="s">
        <v>22</v>
      </c>
      <c r="F45" s="5" t="s">
        <v>24</v>
      </c>
      <c r="G45" s="6" t="s">
        <v>147</v>
      </c>
      <c r="H45" s="5" t="s">
        <v>22</v>
      </c>
      <c r="I45" s="5" t="s">
        <v>18</v>
      </c>
      <c r="J45" s="5" t="s">
        <v>19</v>
      </c>
      <c r="K45" s="30"/>
      <c r="L45" s="7"/>
      <c r="M45" s="7"/>
      <c r="N45" s="7"/>
      <c r="O45" s="7"/>
      <c r="P45" s="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48.75" hidden="false" customHeight="true" outlineLevel="0" collapsed="false">
      <c r="A46" s="27" t="s">
        <v>142</v>
      </c>
      <c r="B46" s="28" t="s">
        <v>143</v>
      </c>
      <c r="C46" s="29" t="s">
        <v>24</v>
      </c>
      <c r="D46" s="28" t="s">
        <v>148</v>
      </c>
      <c r="E46" s="29" t="s">
        <v>22</v>
      </c>
      <c r="F46" s="5" t="s">
        <v>20</v>
      </c>
      <c r="G46" s="6" t="s">
        <v>149</v>
      </c>
      <c r="H46" s="5" t="s">
        <v>22</v>
      </c>
      <c r="I46" s="5" t="s">
        <v>18</v>
      </c>
      <c r="J46" s="5" t="s">
        <v>19</v>
      </c>
      <c r="K46" s="30"/>
      <c r="L46" s="7"/>
      <c r="M46" s="7"/>
      <c r="N46" s="7"/>
      <c r="O46" s="7"/>
      <c r="P46" s="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33.75" hidden="false" customHeight="true" outlineLevel="0" collapsed="false">
      <c r="A47" s="27" t="s">
        <v>142</v>
      </c>
      <c r="B47" s="28" t="s">
        <v>143</v>
      </c>
      <c r="C47" s="29" t="s">
        <v>28</v>
      </c>
      <c r="D47" s="28" t="s">
        <v>150</v>
      </c>
      <c r="E47" s="29" t="s">
        <v>22</v>
      </c>
      <c r="F47" s="8"/>
      <c r="G47" s="9"/>
      <c r="H47" s="8"/>
      <c r="I47" s="8" t="s">
        <v>26</v>
      </c>
      <c r="J47" s="8"/>
      <c r="K47" s="31" t="s">
        <v>151</v>
      </c>
      <c r="L47" s="7"/>
      <c r="M47" s="7"/>
      <c r="N47" s="7"/>
      <c r="O47" s="7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63.75" hidden="false" customHeight="true" outlineLevel="0" collapsed="false">
      <c r="A48" s="27" t="s">
        <v>142</v>
      </c>
      <c r="B48" s="28" t="s">
        <v>143</v>
      </c>
      <c r="C48" s="29" t="s">
        <v>32</v>
      </c>
      <c r="D48" s="28" t="s">
        <v>152</v>
      </c>
      <c r="E48" s="29" t="s">
        <v>34</v>
      </c>
      <c r="F48" s="5" t="s">
        <v>32</v>
      </c>
      <c r="G48" s="6" t="s">
        <v>153</v>
      </c>
      <c r="H48" s="5" t="s">
        <v>34</v>
      </c>
      <c r="I48" s="5" t="s">
        <v>18</v>
      </c>
      <c r="J48" s="5" t="s">
        <v>19</v>
      </c>
      <c r="K48" s="30" t="s">
        <v>154</v>
      </c>
      <c r="L48" s="7"/>
      <c r="M48" s="7"/>
      <c r="N48" s="7"/>
      <c r="O48" s="7"/>
      <c r="P48" s="7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48.75" hidden="false" customHeight="true" outlineLevel="0" collapsed="false">
      <c r="A49" s="32" t="s">
        <v>142</v>
      </c>
      <c r="B49" s="33" t="s">
        <v>143</v>
      </c>
      <c r="C49" s="34" t="s">
        <v>64</v>
      </c>
      <c r="D49" s="33" t="s">
        <v>155</v>
      </c>
      <c r="E49" s="34" t="s">
        <v>66</v>
      </c>
      <c r="F49" s="35" t="s">
        <v>14</v>
      </c>
      <c r="G49" s="36" t="s">
        <v>156</v>
      </c>
      <c r="H49" s="35" t="s">
        <v>16</v>
      </c>
      <c r="I49" s="35" t="s">
        <v>18</v>
      </c>
      <c r="J49" s="35" t="s">
        <v>54</v>
      </c>
      <c r="K49" s="37" t="s">
        <v>68</v>
      </c>
      <c r="L49" s="7"/>
      <c r="M49" s="7"/>
      <c r="N49" s="7"/>
      <c r="O49" s="7"/>
      <c r="P49" s="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3">
    <dataValidation allowBlank="true" errorStyle="stop" operator="between" showDropDown="false" showErrorMessage="false" showInputMessage="false" sqref="I2:I49" type="list">
      <formula1>"Identificada,Não identificada"</formula1>
      <formula2>0</formula2>
    </dataValidation>
    <dataValidation allowBlank="true" errorStyle="stop" operator="between" showDropDown="false" showErrorMessage="false" showInputMessage="false" sqref="J2:J49" type="list">
      <formula1>"Coincide,Diverge"</formula1>
      <formula2>0</formula2>
    </dataValidation>
    <dataValidation allowBlank="true" errorStyle="stop" operator="between" showDropDown="false" showErrorMessage="false" showInputMessage="false" sqref="H2:H49" type="list">
      <formula1>"RF,RNF,RN,RST"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5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17.29"/>
    <col collapsed="false" customWidth="true" hidden="false" outlineLevel="0" max="10" min="10" style="0" width="15"/>
    <col collapsed="false" customWidth="true" hidden="false" outlineLevel="0" max="11" min="11" style="0" width="7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3.75" hidden="false" customHeight="true" outlineLevel="0" collapsed="false">
      <c r="A2" s="3" t="s">
        <v>12</v>
      </c>
      <c r="B2" s="4" t="s">
        <v>13</v>
      </c>
      <c r="C2" s="3" t="s">
        <v>14</v>
      </c>
      <c r="D2" s="4" t="s">
        <v>15</v>
      </c>
      <c r="E2" s="3" t="s">
        <v>16</v>
      </c>
      <c r="F2" s="5" t="s">
        <v>14</v>
      </c>
      <c r="G2" s="6" t="s">
        <v>157</v>
      </c>
      <c r="H2" s="5" t="s">
        <v>16</v>
      </c>
      <c r="I2" s="5" t="s">
        <v>18</v>
      </c>
      <c r="J2" s="5" t="s">
        <v>19</v>
      </c>
      <c r="K2" s="6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63.75" hidden="false" customHeight="true" outlineLevel="0" collapsed="false">
      <c r="A3" s="3" t="s">
        <v>12</v>
      </c>
      <c r="B3" s="4" t="s">
        <v>13</v>
      </c>
      <c r="C3" s="3" t="s">
        <v>20</v>
      </c>
      <c r="D3" s="4" t="s">
        <v>21</v>
      </c>
      <c r="E3" s="3" t="s">
        <v>22</v>
      </c>
      <c r="F3" s="56" t="s">
        <v>24</v>
      </c>
      <c r="G3" s="57" t="s">
        <v>158</v>
      </c>
      <c r="H3" s="56" t="s">
        <v>22</v>
      </c>
      <c r="I3" s="56" t="s">
        <v>18</v>
      </c>
      <c r="J3" s="56" t="s">
        <v>19</v>
      </c>
      <c r="K3" s="57" t="s">
        <v>159</v>
      </c>
      <c r="L3" s="56" t="s">
        <v>160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63.75" hidden="false" customHeight="true" outlineLevel="0" collapsed="false">
      <c r="A4" s="3" t="s">
        <v>12</v>
      </c>
      <c r="B4" s="4" t="s">
        <v>13</v>
      </c>
      <c r="C4" s="3" t="s">
        <v>24</v>
      </c>
      <c r="D4" s="4" t="s">
        <v>25</v>
      </c>
      <c r="E4" s="3" t="s">
        <v>22</v>
      </c>
      <c r="F4" s="56" t="s">
        <v>24</v>
      </c>
      <c r="G4" s="57" t="s">
        <v>158</v>
      </c>
      <c r="H4" s="56" t="s">
        <v>22</v>
      </c>
      <c r="I4" s="56" t="s">
        <v>18</v>
      </c>
      <c r="J4" s="56" t="s">
        <v>19</v>
      </c>
      <c r="K4" s="57" t="s">
        <v>161</v>
      </c>
      <c r="L4" s="56" t="s">
        <v>160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48.75" hidden="false" customHeight="true" outlineLevel="0" collapsed="false">
      <c r="A5" s="3" t="s">
        <v>12</v>
      </c>
      <c r="B5" s="4" t="s">
        <v>13</v>
      </c>
      <c r="C5" s="3" t="s">
        <v>28</v>
      </c>
      <c r="D5" s="4" t="s">
        <v>29</v>
      </c>
      <c r="E5" s="3" t="s">
        <v>22</v>
      </c>
      <c r="F5" s="8"/>
      <c r="G5" s="9"/>
      <c r="H5" s="8"/>
      <c r="I5" s="8" t="s">
        <v>26</v>
      </c>
      <c r="J5" s="8"/>
      <c r="K5" s="9" t="s">
        <v>162</v>
      </c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48.75" hidden="false" customHeight="true" outlineLevel="0" collapsed="false">
      <c r="A6" s="3" t="s">
        <v>12</v>
      </c>
      <c r="B6" s="4" t="s">
        <v>13</v>
      </c>
      <c r="C6" s="3" t="s">
        <v>32</v>
      </c>
      <c r="D6" s="4" t="s">
        <v>33</v>
      </c>
      <c r="E6" s="3" t="s">
        <v>34</v>
      </c>
      <c r="F6" s="5" t="s">
        <v>32</v>
      </c>
      <c r="G6" s="6" t="s">
        <v>163</v>
      </c>
      <c r="H6" s="5" t="s">
        <v>34</v>
      </c>
      <c r="I6" s="5" t="s">
        <v>18</v>
      </c>
      <c r="J6" s="5" t="s">
        <v>19</v>
      </c>
      <c r="K6" s="6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3.75" hidden="false" customHeight="true" outlineLevel="0" collapsed="false">
      <c r="A7" s="11" t="s">
        <v>12</v>
      </c>
      <c r="B7" s="12" t="s">
        <v>13</v>
      </c>
      <c r="C7" s="11" t="s">
        <v>37</v>
      </c>
      <c r="D7" s="12" t="s">
        <v>38</v>
      </c>
      <c r="E7" s="11" t="s">
        <v>34</v>
      </c>
      <c r="F7" s="48" t="s">
        <v>37</v>
      </c>
      <c r="G7" s="49" t="s">
        <v>164</v>
      </c>
      <c r="H7" s="48" t="s">
        <v>34</v>
      </c>
      <c r="I7" s="48" t="s">
        <v>18</v>
      </c>
      <c r="J7" s="48" t="s">
        <v>19</v>
      </c>
      <c r="K7" s="49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.75" hidden="false" customHeight="true" outlineLevel="0" collapsed="false">
      <c r="A8" s="42" t="s">
        <v>40</v>
      </c>
      <c r="B8" s="43" t="s">
        <v>41</v>
      </c>
      <c r="C8" s="44" t="s">
        <v>14</v>
      </c>
      <c r="D8" s="43" t="s">
        <v>42</v>
      </c>
      <c r="E8" s="44" t="s">
        <v>16</v>
      </c>
      <c r="F8" s="45" t="s">
        <v>44</v>
      </c>
      <c r="G8" s="46" t="s">
        <v>165</v>
      </c>
      <c r="H8" s="45" t="s">
        <v>16</v>
      </c>
      <c r="I8" s="45" t="s">
        <v>18</v>
      </c>
      <c r="J8" s="45" t="s">
        <v>19</v>
      </c>
      <c r="K8" s="4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.75" hidden="false" customHeight="true" outlineLevel="0" collapsed="false">
      <c r="A9" s="27" t="s">
        <v>40</v>
      </c>
      <c r="B9" s="28" t="s">
        <v>41</v>
      </c>
      <c r="C9" s="29" t="s">
        <v>44</v>
      </c>
      <c r="D9" s="28" t="s">
        <v>45</v>
      </c>
      <c r="E9" s="29" t="s">
        <v>16</v>
      </c>
      <c r="F9" s="5" t="s">
        <v>14</v>
      </c>
      <c r="G9" s="6" t="s">
        <v>166</v>
      </c>
      <c r="H9" s="5" t="s">
        <v>16</v>
      </c>
      <c r="I9" s="5" t="s">
        <v>18</v>
      </c>
      <c r="J9" s="5" t="s">
        <v>19</v>
      </c>
      <c r="K9" s="30" t="s">
        <v>47</v>
      </c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8.75" hidden="false" customHeight="true" outlineLevel="0" collapsed="false">
      <c r="A10" s="27" t="s">
        <v>40</v>
      </c>
      <c r="B10" s="28" t="s">
        <v>41</v>
      </c>
      <c r="C10" s="29" t="s">
        <v>20</v>
      </c>
      <c r="D10" s="28" t="s">
        <v>48</v>
      </c>
      <c r="E10" s="29" t="s">
        <v>22</v>
      </c>
      <c r="F10" s="56" t="s">
        <v>28</v>
      </c>
      <c r="G10" s="57" t="s">
        <v>167</v>
      </c>
      <c r="H10" s="56" t="s">
        <v>22</v>
      </c>
      <c r="I10" s="56" t="s">
        <v>18</v>
      </c>
      <c r="J10" s="56" t="s">
        <v>19</v>
      </c>
      <c r="K10" s="58" t="s">
        <v>168</v>
      </c>
      <c r="L10" s="56" t="s">
        <v>169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8.75" hidden="false" customHeight="true" outlineLevel="0" collapsed="false">
      <c r="A11" s="27" t="s">
        <v>40</v>
      </c>
      <c r="B11" s="28" t="s">
        <v>41</v>
      </c>
      <c r="C11" s="29" t="s">
        <v>24</v>
      </c>
      <c r="D11" s="28" t="s">
        <v>50</v>
      </c>
      <c r="E11" s="29" t="s">
        <v>22</v>
      </c>
      <c r="F11" s="56" t="s">
        <v>28</v>
      </c>
      <c r="G11" s="57" t="s">
        <v>167</v>
      </c>
      <c r="H11" s="56" t="s">
        <v>22</v>
      </c>
      <c r="I11" s="56" t="s">
        <v>18</v>
      </c>
      <c r="J11" s="56" t="s">
        <v>19</v>
      </c>
      <c r="K11" s="58" t="s">
        <v>170</v>
      </c>
      <c r="L11" s="56" t="s">
        <v>169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8.75" hidden="false" customHeight="true" outlineLevel="0" collapsed="false">
      <c r="A12" s="32" t="s">
        <v>40</v>
      </c>
      <c r="B12" s="33" t="s">
        <v>41</v>
      </c>
      <c r="C12" s="34" t="s">
        <v>28</v>
      </c>
      <c r="D12" s="33" t="s">
        <v>52</v>
      </c>
      <c r="E12" s="34" t="s">
        <v>22</v>
      </c>
      <c r="F12" s="59" t="s">
        <v>28</v>
      </c>
      <c r="G12" s="60" t="s">
        <v>167</v>
      </c>
      <c r="H12" s="59" t="s">
        <v>22</v>
      </c>
      <c r="I12" s="59" t="s">
        <v>18</v>
      </c>
      <c r="J12" s="59" t="s">
        <v>19</v>
      </c>
      <c r="K12" s="61" t="s">
        <v>171</v>
      </c>
      <c r="L12" s="56" t="s">
        <v>169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8.75" hidden="false" customHeight="true" outlineLevel="0" collapsed="false">
      <c r="A13" s="38" t="s">
        <v>56</v>
      </c>
      <c r="B13" s="39" t="s">
        <v>57</v>
      </c>
      <c r="C13" s="38" t="s">
        <v>20</v>
      </c>
      <c r="D13" s="39" t="s">
        <v>58</v>
      </c>
      <c r="E13" s="38" t="s">
        <v>22</v>
      </c>
      <c r="F13" s="62" t="s">
        <v>28</v>
      </c>
      <c r="G13" s="63" t="s">
        <v>172</v>
      </c>
      <c r="H13" s="62" t="s">
        <v>22</v>
      </c>
      <c r="I13" s="62" t="s">
        <v>18</v>
      </c>
      <c r="J13" s="62" t="s">
        <v>19</v>
      </c>
      <c r="K13" s="63" t="s">
        <v>173</v>
      </c>
      <c r="L13" s="56" t="s">
        <v>160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8.75" hidden="false" customHeight="true" outlineLevel="0" collapsed="false">
      <c r="A14" s="3" t="s">
        <v>56</v>
      </c>
      <c r="B14" s="4" t="s">
        <v>57</v>
      </c>
      <c r="C14" s="3" t="s">
        <v>24</v>
      </c>
      <c r="D14" s="4" t="s">
        <v>60</v>
      </c>
      <c r="E14" s="3" t="s">
        <v>22</v>
      </c>
      <c r="F14" s="56" t="s">
        <v>28</v>
      </c>
      <c r="G14" s="57" t="s">
        <v>172</v>
      </c>
      <c r="H14" s="56" t="s">
        <v>22</v>
      </c>
      <c r="I14" s="56" t="s">
        <v>18</v>
      </c>
      <c r="J14" s="56" t="s">
        <v>19</v>
      </c>
      <c r="K14" s="57" t="s">
        <v>174</v>
      </c>
      <c r="L14" s="56" t="s">
        <v>160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8.75" hidden="false" customHeight="true" outlineLevel="0" collapsed="false">
      <c r="A15" s="3" t="s">
        <v>56</v>
      </c>
      <c r="B15" s="4" t="s">
        <v>57</v>
      </c>
      <c r="C15" s="3" t="s">
        <v>28</v>
      </c>
      <c r="D15" s="4" t="s">
        <v>62</v>
      </c>
      <c r="E15" s="3" t="s">
        <v>22</v>
      </c>
      <c r="F15" s="5" t="s">
        <v>24</v>
      </c>
      <c r="G15" s="6" t="s">
        <v>175</v>
      </c>
      <c r="H15" s="5" t="s">
        <v>22</v>
      </c>
      <c r="I15" s="5" t="s">
        <v>18</v>
      </c>
      <c r="J15" s="5" t="s">
        <v>19</v>
      </c>
      <c r="K15" s="6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8.75" hidden="false" customHeight="true" outlineLevel="0" collapsed="false">
      <c r="A16" s="11" t="s">
        <v>56</v>
      </c>
      <c r="B16" s="12" t="s">
        <v>57</v>
      </c>
      <c r="C16" s="11" t="s">
        <v>64</v>
      </c>
      <c r="D16" s="12" t="s">
        <v>65</v>
      </c>
      <c r="E16" s="11" t="s">
        <v>66</v>
      </c>
      <c r="F16" s="40" t="s">
        <v>44</v>
      </c>
      <c r="G16" s="41" t="s">
        <v>176</v>
      </c>
      <c r="H16" s="40" t="s">
        <v>16</v>
      </c>
      <c r="I16" s="40" t="s">
        <v>18</v>
      </c>
      <c r="J16" s="40" t="s">
        <v>54</v>
      </c>
      <c r="K16" s="41" t="s">
        <v>68</v>
      </c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8.75" hidden="false" customHeight="true" outlineLevel="0" collapsed="false">
      <c r="A17" s="42" t="s">
        <v>69</v>
      </c>
      <c r="B17" s="43" t="s">
        <v>70</v>
      </c>
      <c r="C17" s="44" t="s">
        <v>14</v>
      </c>
      <c r="D17" s="43" t="s">
        <v>71</v>
      </c>
      <c r="E17" s="44" t="s">
        <v>16</v>
      </c>
      <c r="F17" s="45" t="s">
        <v>44</v>
      </c>
      <c r="G17" s="46" t="s">
        <v>177</v>
      </c>
      <c r="H17" s="45" t="s">
        <v>16</v>
      </c>
      <c r="I17" s="45" t="s">
        <v>18</v>
      </c>
      <c r="J17" s="45" t="s">
        <v>19</v>
      </c>
      <c r="K17" s="4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3.75" hidden="false" customHeight="true" outlineLevel="0" collapsed="false">
      <c r="A18" s="27" t="s">
        <v>69</v>
      </c>
      <c r="B18" s="28" t="s">
        <v>70</v>
      </c>
      <c r="C18" s="29" t="s">
        <v>20</v>
      </c>
      <c r="D18" s="28" t="s">
        <v>73</v>
      </c>
      <c r="E18" s="29" t="s">
        <v>22</v>
      </c>
      <c r="F18" s="5" t="s">
        <v>20</v>
      </c>
      <c r="G18" s="6" t="s">
        <v>178</v>
      </c>
      <c r="H18" s="5" t="s">
        <v>22</v>
      </c>
      <c r="I18" s="5" t="s">
        <v>18</v>
      </c>
      <c r="J18" s="5" t="s">
        <v>19</v>
      </c>
      <c r="K18" s="30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48.75" hidden="false" customHeight="true" outlineLevel="0" collapsed="false">
      <c r="A19" s="27" t="s">
        <v>69</v>
      </c>
      <c r="B19" s="28" t="s">
        <v>70</v>
      </c>
      <c r="C19" s="29" t="s">
        <v>24</v>
      </c>
      <c r="D19" s="28" t="s">
        <v>75</v>
      </c>
      <c r="E19" s="29" t="s">
        <v>22</v>
      </c>
      <c r="F19" s="5" t="s">
        <v>28</v>
      </c>
      <c r="G19" s="6" t="s">
        <v>179</v>
      </c>
      <c r="H19" s="5" t="s">
        <v>22</v>
      </c>
      <c r="I19" s="5" t="s">
        <v>18</v>
      </c>
      <c r="J19" s="5" t="s">
        <v>19</v>
      </c>
      <c r="K19" s="30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3.75" hidden="false" customHeight="true" outlineLevel="0" collapsed="false">
      <c r="A20" s="27" t="s">
        <v>69</v>
      </c>
      <c r="B20" s="28" t="s">
        <v>70</v>
      </c>
      <c r="C20" s="29" t="s">
        <v>28</v>
      </c>
      <c r="D20" s="28" t="s">
        <v>77</v>
      </c>
      <c r="E20" s="29" t="s">
        <v>22</v>
      </c>
      <c r="F20" s="5" t="s">
        <v>24</v>
      </c>
      <c r="G20" s="6" t="s">
        <v>180</v>
      </c>
      <c r="H20" s="5" t="s">
        <v>22</v>
      </c>
      <c r="I20" s="5" t="s">
        <v>18</v>
      </c>
      <c r="J20" s="5" t="s">
        <v>19</v>
      </c>
      <c r="K20" s="30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48.75" hidden="false" customHeight="true" outlineLevel="0" collapsed="false">
      <c r="A21" s="32" t="s">
        <v>69</v>
      </c>
      <c r="B21" s="33" t="s">
        <v>70</v>
      </c>
      <c r="C21" s="34" t="s">
        <v>64</v>
      </c>
      <c r="D21" s="33" t="s">
        <v>79</v>
      </c>
      <c r="E21" s="34" t="s">
        <v>66</v>
      </c>
      <c r="F21" s="35" t="s">
        <v>14</v>
      </c>
      <c r="G21" s="36" t="s">
        <v>181</v>
      </c>
      <c r="H21" s="35" t="s">
        <v>16</v>
      </c>
      <c r="I21" s="35" t="s">
        <v>18</v>
      </c>
      <c r="J21" s="35" t="s">
        <v>54</v>
      </c>
      <c r="K21" s="37" t="s">
        <v>68</v>
      </c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3.75" hidden="false" customHeight="true" outlineLevel="0" collapsed="false">
      <c r="A22" s="38" t="s">
        <v>81</v>
      </c>
      <c r="B22" s="39" t="s">
        <v>82</v>
      </c>
      <c r="C22" s="38" t="s">
        <v>14</v>
      </c>
      <c r="D22" s="39" t="s">
        <v>83</v>
      </c>
      <c r="E22" s="38" t="s">
        <v>16</v>
      </c>
      <c r="F22" s="24" t="s">
        <v>14</v>
      </c>
      <c r="G22" s="25" t="s">
        <v>182</v>
      </c>
      <c r="H22" s="24" t="s">
        <v>16</v>
      </c>
      <c r="I22" s="24" t="s">
        <v>18</v>
      </c>
      <c r="J22" s="24" t="s">
        <v>19</v>
      </c>
      <c r="K22" s="25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48.75" hidden="false" customHeight="true" outlineLevel="0" collapsed="false">
      <c r="A23" s="3" t="s">
        <v>81</v>
      </c>
      <c r="B23" s="4" t="s">
        <v>82</v>
      </c>
      <c r="C23" s="3" t="s">
        <v>20</v>
      </c>
      <c r="D23" s="4" t="s">
        <v>85</v>
      </c>
      <c r="E23" s="3" t="s">
        <v>22</v>
      </c>
      <c r="F23" s="56" t="s">
        <v>20</v>
      </c>
      <c r="G23" s="57" t="s">
        <v>183</v>
      </c>
      <c r="H23" s="56" t="s">
        <v>22</v>
      </c>
      <c r="I23" s="56" t="s">
        <v>18</v>
      </c>
      <c r="J23" s="56" t="s">
        <v>19</v>
      </c>
      <c r="K23" s="57" t="s">
        <v>173</v>
      </c>
      <c r="L23" s="56" t="s">
        <v>169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48.75" hidden="false" customHeight="true" outlineLevel="0" collapsed="false">
      <c r="A24" s="3" t="s">
        <v>81</v>
      </c>
      <c r="B24" s="4" t="s">
        <v>82</v>
      </c>
      <c r="C24" s="3" t="s">
        <v>24</v>
      </c>
      <c r="D24" s="4" t="s">
        <v>87</v>
      </c>
      <c r="E24" s="3" t="s">
        <v>22</v>
      </c>
      <c r="F24" s="56" t="s">
        <v>20</v>
      </c>
      <c r="G24" s="57" t="s">
        <v>183</v>
      </c>
      <c r="H24" s="56" t="s">
        <v>22</v>
      </c>
      <c r="I24" s="56" t="s">
        <v>18</v>
      </c>
      <c r="J24" s="56" t="s">
        <v>19</v>
      </c>
      <c r="K24" s="57" t="s">
        <v>184</v>
      </c>
      <c r="L24" s="56" t="s">
        <v>169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48.75" hidden="false" customHeight="true" outlineLevel="0" collapsed="false">
      <c r="A25" s="3" t="s">
        <v>81</v>
      </c>
      <c r="B25" s="4" t="s">
        <v>82</v>
      </c>
      <c r="C25" s="3" t="s">
        <v>32</v>
      </c>
      <c r="D25" s="4" t="s">
        <v>89</v>
      </c>
      <c r="E25" s="3" t="s">
        <v>34</v>
      </c>
      <c r="F25" s="5" t="s">
        <v>37</v>
      </c>
      <c r="G25" s="6" t="s">
        <v>185</v>
      </c>
      <c r="H25" s="5" t="s">
        <v>34</v>
      </c>
      <c r="I25" s="5" t="s">
        <v>18</v>
      </c>
      <c r="J25" s="5" t="s">
        <v>19</v>
      </c>
      <c r="K25" s="6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48.75" hidden="false" customHeight="true" outlineLevel="0" collapsed="false">
      <c r="A26" s="11" t="s">
        <v>81</v>
      </c>
      <c r="B26" s="12" t="s">
        <v>82</v>
      </c>
      <c r="C26" s="11" t="s">
        <v>64</v>
      </c>
      <c r="D26" s="12" t="s">
        <v>91</v>
      </c>
      <c r="E26" s="11" t="s">
        <v>66</v>
      </c>
      <c r="F26" s="64" t="s">
        <v>20</v>
      </c>
      <c r="G26" s="65" t="s">
        <v>183</v>
      </c>
      <c r="H26" s="64" t="s">
        <v>22</v>
      </c>
      <c r="I26" s="64" t="s">
        <v>18</v>
      </c>
      <c r="J26" s="64" t="s">
        <v>54</v>
      </c>
      <c r="K26" s="65" t="s">
        <v>186</v>
      </c>
      <c r="L26" s="56" t="s">
        <v>169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48.75" hidden="false" customHeight="true" outlineLevel="0" collapsed="false">
      <c r="A27" s="42" t="s">
        <v>93</v>
      </c>
      <c r="B27" s="43" t="s">
        <v>94</v>
      </c>
      <c r="C27" s="44" t="s">
        <v>14</v>
      </c>
      <c r="D27" s="43" t="s">
        <v>95</v>
      </c>
      <c r="E27" s="44" t="s">
        <v>16</v>
      </c>
      <c r="F27" s="66" t="s">
        <v>14</v>
      </c>
      <c r="G27" s="67" t="s">
        <v>187</v>
      </c>
      <c r="H27" s="66" t="s">
        <v>16</v>
      </c>
      <c r="I27" s="66" t="s">
        <v>18</v>
      </c>
      <c r="J27" s="66" t="s">
        <v>19</v>
      </c>
      <c r="K27" s="68" t="s">
        <v>97</v>
      </c>
      <c r="L27" s="56" t="s">
        <v>160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3.75" hidden="false" customHeight="true" outlineLevel="0" collapsed="false">
      <c r="A28" s="27" t="s">
        <v>93</v>
      </c>
      <c r="B28" s="28" t="s">
        <v>94</v>
      </c>
      <c r="C28" s="29" t="s">
        <v>20</v>
      </c>
      <c r="D28" s="28" t="s">
        <v>98</v>
      </c>
      <c r="E28" s="29" t="s">
        <v>22</v>
      </c>
      <c r="F28" s="5" t="s">
        <v>20</v>
      </c>
      <c r="G28" s="6" t="s">
        <v>188</v>
      </c>
      <c r="H28" s="5" t="s">
        <v>22</v>
      </c>
      <c r="I28" s="5" t="s">
        <v>18</v>
      </c>
      <c r="J28" s="5" t="s">
        <v>19</v>
      </c>
      <c r="K28" s="30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48.75" hidden="false" customHeight="true" outlineLevel="0" collapsed="false">
      <c r="A29" s="27" t="s">
        <v>93</v>
      </c>
      <c r="B29" s="28" t="s">
        <v>94</v>
      </c>
      <c r="C29" s="29" t="s">
        <v>24</v>
      </c>
      <c r="D29" s="28" t="s">
        <v>100</v>
      </c>
      <c r="E29" s="29" t="s">
        <v>22</v>
      </c>
      <c r="F29" s="5" t="s">
        <v>24</v>
      </c>
      <c r="G29" s="6" t="s">
        <v>189</v>
      </c>
      <c r="H29" s="5" t="s">
        <v>22</v>
      </c>
      <c r="I29" s="5" t="s">
        <v>18</v>
      </c>
      <c r="J29" s="5" t="s">
        <v>19</v>
      </c>
      <c r="K29" s="30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78.75" hidden="false" customHeight="true" outlineLevel="0" collapsed="false">
      <c r="A30" s="32" t="s">
        <v>93</v>
      </c>
      <c r="B30" s="33" t="s">
        <v>94</v>
      </c>
      <c r="C30" s="34" t="s">
        <v>64</v>
      </c>
      <c r="D30" s="33" t="s">
        <v>102</v>
      </c>
      <c r="E30" s="34" t="s">
        <v>66</v>
      </c>
      <c r="F30" s="59" t="s">
        <v>14</v>
      </c>
      <c r="G30" s="60" t="s">
        <v>187</v>
      </c>
      <c r="H30" s="59" t="s">
        <v>16</v>
      </c>
      <c r="I30" s="59" t="s">
        <v>18</v>
      </c>
      <c r="J30" s="59" t="s">
        <v>54</v>
      </c>
      <c r="K30" s="61" t="s">
        <v>190</v>
      </c>
      <c r="L30" s="56" t="s">
        <v>160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48.75" hidden="false" customHeight="true" outlineLevel="0" collapsed="false">
      <c r="A31" s="38" t="s">
        <v>105</v>
      </c>
      <c r="B31" s="39" t="s">
        <v>106</v>
      </c>
      <c r="C31" s="38" t="s">
        <v>14</v>
      </c>
      <c r="D31" s="39" t="s">
        <v>107</v>
      </c>
      <c r="E31" s="38" t="s">
        <v>16</v>
      </c>
      <c r="F31" s="24" t="s">
        <v>14</v>
      </c>
      <c r="G31" s="25" t="s">
        <v>191</v>
      </c>
      <c r="H31" s="24" t="s">
        <v>16</v>
      </c>
      <c r="I31" s="24" t="s">
        <v>18</v>
      </c>
      <c r="J31" s="24" t="s">
        <v>19</v>
      </c>
      <c r="K31" s="25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48.75" hidden="false" customHeight="true" outlineLevel="0" collapsed="false">
      <c r="A32" s="3" t="s">
        <v>105</v>
      </c>
      <c r="B32" s="4" t="s">
        <v>106</v>
      </c>
      <c r="C32" s="3" t="s">
        <v>20</v>
      </c>
      <c r="D32" s="4" t="s">
        <v>109</v>
      </c>
      <c r="E32" s="3" t="s">
        <v>22</v>
      </c>
      <c r="F32" s="5" t="s">
        <v>24</v>
      </c>
      <c r="G32" s="6" t="s">
        <v>192</v>
      </c>
      <c r="H32" s="5" t="s">
        <v>22</v>
      </c>
      <c r="I32" s="5" t="s">
        <v>18</v>
      </c>
      <c r="J32" s="5" t="s">
        <v>19</v>
      </c>
      <c r="K32" s="6" t="s">
        <v>193</v>
      </c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63.75" hidden="false" customHeight="true" outlineLevel="0" collapsed="false">
      <c r="A33" s="11" t="s">
        <v>105</v>
      </c>
      <c r="B33" s="12" t="s">
        <v>106</v>
      </c>
      <c r="C33" s="11" t="s">
        <v>32</v>
      </c>
      <c r="D33" s="12" t="s">
        <v>112</v>
      </c>
      <c r="E33" s="11" t="s">
        <v>34</v>
      </c>
      <c r="F33" s="48" t="s">
        <v>32</v>
      </c>
      <c r="G33" s="49" t="s">
        <v>194</v>
      </c>
      <c r="H33" s="48" t="s">
        <v>34</v>
      </c>
      <c r="I33" s="48" t="s">
        <v>18</v>
      </c>
      <c r="J33" s="48" t="s">
        <v>19</v>
      </c>
      <c r="K33" s="49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63.75" hidden="false" customHeight="true" outlineLevel="0" collapsed="false">
      <c r="A34" s="42" t="s">
        <v>114</v>
      </c>
      <c r="B34" s="43" t="s">
        <v>115</v>
      </c>
      <c r="C34" s="44" t="s">
        <v>14</v>
      </c>
      <c r="D34" s="43" t="s">
        <v>116</v>
      </c>
      <c r="E34" s="44" t="s">
        <v>16</v>
      </c>
      <c r="F34" s="50"/>
      <c r="G34" s="51"/>
      <c r="H34" s="50"/>
      <c r="I34" s="50" t="s">
        <v>26</v>
      </c>
      <c r="J34" s="50"/>
      <c r="K34" s="52" t="s">
        <v>117</v>
      </c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33.75" hidden="false" customHeight="true" outlineLevel="0" collapsed="false">
      <c r="A35" s="27" t="s">
        <v>114</v>
      </c>
      <c r="B35" s="28" t="s">
        <v>115</v>
      </c>
      <c r="C35" s="29" t="s">
        <v>20</v>
      </c>
      <c r="D35" s="28" t="s">
        <v>118</v>
      </c>
      <c r="E35" s="29" t="s">
        <v>22</v>
      </c>
      <c r="F35" s="5" t="s">
        <v>20</v>
      </c>
      <c r="G35" s="6" t="s">
        <v>195</v>
      </c>
      <c r="H35" s="5" t="s">
        <v>22</v>
      </c>
      <c r="I35" s="5" t="s">
        <v>18</v>
      </c>
      <c r="J35" s="5" t="s">
        <v>19</v>
      </c>
      <c r="K35" s="30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48.75" hidden="false" customHeight="true" outlineLevel="0" collapsed="false">
      <c r="A36" s="27" t="s">
        <v>114</v>
      </c>
      <c r="B36" s="28" t="s">
        <v>115</v>
      </c>
      <c r="C36" s="29" t="s">
        <v>24</v>
      </c>
      <c r="D36" s="28" t="s">
        <v>119</v>
      </c>
      <c r="E36" s="29" t="s">
        <v>22</v>
      </c>
      <c r="F36" s="5" t="s">
        <v>28</v>
      </c>
      <c r="G36" s="6" t="s">
        <v>196</v>
      </c>
      <c r="H36" s="5" t="s">
        <v>22</v>
      </c>
      <c r="I36" s="5" t="s">
        <v>18</v>
      </c>
      <c r="J36" s="5" t="s">
        <v>19</v>
      </c>
      <c r="K36" s="30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48.75" hidden="false" customHeight="true" outlineLevel="0" collapsed="false">
      <c r="A37" s="27" t="s">
        <v>114</v>
      </c>
      <c r="B37" s="28" t="s">
        <v>115</v>
      </c>
      <c r="C37" s="29" t="s">
        <v>28</v>
      </c>
      <c r="D37" s="28" t="s">
        <v>121</v>
      </c>
      <c r="E37" s="29" t="s">
        <v>22</v>
      </c>
      <c r="F37" s="5" t="s">
        <v>24</v>
      </c>
      <c r="G37" s="6" t="s">
        <v>197</v>
      </c>
      <c r="H37" s="5" t="s">
        <v>22</v>
      </c>
      <c r="I37" s="5" t="s">
        <v>18</v>
      </c>
      <c r="J37" s="5" t="s">
        <v>19</v>
      </c>
      <c r="K37" s="30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33.75" hidden="false" customHeight="true" outlineLevel="0" collapsed="false">
      <c r="A38" s="27" t="s">
        <v>114</v>
      </c>
      <c r="B38" s="28" t="s">
        <v>115</v>
      </c>
      <c r="C38" s="29" t="s">
        <v>123</v>
      </c>
      <c r="D38" s="28" t="s">
        <v>124</v>
      </c>
      <c r="E38" s="29" t="s">
        <v>22</v>
      </c>
      <c r="F38" s="53" t="s">
        <v>37</v>
      </c>
      <c r="G38" s="54" t="s">
        <v>198</v>
      </c>
      <c r="H38" s="53" t="s">
        <v>34</v>
      </c>
      <c r="I38" s="53" t="s">
        <v>18</v>
      </c>
      <c r="J38" s="53" t="s">
        <v>54</v>
      </c>
      <c r="K38" s="55" t="s">
        <v>199</v>
      </c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48.75" hidden="false" customHeight="true" outlineLevel="0" collapsed="false">
      <c r="A39" s="32" t="s">
        <v>114</v>
      </c>
      <c r="B39" s="33" t="s">
        <v>115</v>
      </c>
      <c r="C39" s="34" t="s">
        <v>64</v>
      </c>
      <c r="D39" s="33" t="s">
        <v>127</v>
      </c>
      <c r="E39" s="34" t="s">
        <v>66</v>
      </c>
      <c r="F39" s="35" t="s">
        <v>14</v>
      </c>
      <c r="G39" s="36" t="s">
        <v>200</v>
      </c>
      <c r="H39" s="35" t="s">
        <v>16</v>
      </c>
      <c r="I39" s="35" t="s">
        <v>18</v>
      </c>
      <c r="J39" s="35" t="s">
        <v>54</v>
      </c>
      <c r="K39" s="37" t="s">
        <v>68</v>
      </c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8.75" hidden="false" customHeight="true" outlineLevel="0" collapsed="false">
      <c r="A40" s="38" t="s">
        <v>129</v>
      </c>
      <c r="B40" s="39" t="s">
        <v>130</v>
      </c>
      <c r="C40" s="38" t="s">
        <v>20</v>
      </c>
      <c r="D40" s="39" t="s">
        <v>131</v>
      </c>
      <c r="E40" s="38" t="s">
        <v>22</v>
      </c>
      <c r="F40" s="24" t="s">
        <v>20</v>
      </c>
      <c r="G40" s="25" t="s">
        <v>201</v>
      </c>
      <c r="H40" s="24" t="s">
        <v>22</v>
      </c>
      <c r="I40" s="24" t="s">
        <v>18</v>
      </c>
      <c r="J40" s="24" t="s">
        <v>19</v>
      </c>
      <c r="K40" s="25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33.75" hidden="false" customHeight="true" outlineLevel="0" collapsed="false">
      <c r="A41" s="3" t="s">
        <v>129</v>
      </c>
      <c r="B41" s="4" t="s">
        <v>130</v>
      </c>
      <c r="C41" s="3" t="s">
        <v>24</v>
      </c>
      <c r="D41" s="4" t="s">
        <v>133</v>
      </c>
      <c r="E41" s="3" t="s">
        <v>22</v>
      </c>
      <c r="F41" s="8"/>
      <c r="G41" s="9"/>
      <c r="H41" s="8"/>
      <c r="I41" s="8" t="s">
        <v>26</v>
      </c>
      <c r="J41" s="8"/>
      <c r="K41" s="9" t="s">
        <v>202</v>
      </c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48.75" hidden="false" customHeight="true" outlineLevel="0" collapsed="false">
      <c r="A42" s="3" t="s">
        <v>129</v>
      </c>
      <c r="B42" s="4" t="s">
        <v>130</v>
      </c>
      <c r="C42" s="3" t="s">
        <v>28</v>
      </c>
      <c r="D42" s="4" t="s">
        <v>137</v>
      </c>
      <c r="E42" s="3" t="s">
        <v>22</v>
      </c>
      <c r="F42" s="5" t="s">
        <v>24</v>
      </c>
      <c r="G42" s="6" t="s">
        <v>203</v>
      </c>
      <c r="H42" s="5" t="s">
        <v>22</v>
      </c>
      <c r="I42" s="5" t="s">
        <v>18</v>
      </c>
      <c r="J42" s="5" t="s">
        <v>19</v>
      </c>
      <c r="K42" s="6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48.75" hidden="false" customHeight="true" outlineLevel="0" collapsed="false">
      <c r="A43" s="11" t="s">
        <v>129</v>
      </c>
      <c r="B43" s="12" t="s">
        <v>130</v>
      </c>
      <c r="C43" s="11" t="s">
        <v>64</v>
      </c>
      <c r="D43" s="12" t="s">
        <v>140</v>
      </c>
      <c r="E43" s="11" t="s">
        <v>66</v>
      </c>
      <c r="F43" s="40" t="s">
        <v>14</v>
      </c>
      <c r="G43" s="41" t="s">
        <v>204</v>
      </c>
      <c r="H43" s="40" t="s">
        <v>16</v>
      </c>
      <c r="I43" s="40" t="s">
        <v>18</v>
      </c>
      <c r="J43" s="40" t="s">
        <v>54</v>
      </c>
      <c r="K43" s="41" t="s">
        <v>68</v>
      </c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63.75" hidden="false" customHeight="true" outlineLevel="0" collapsed="false">
      <c r="A44" s="42" t="s">
        <v>142</v>
      </c>
      <c r="B44" s="43" t="s">
        <v>143</v>
      </c>
      <c r="C44" s="44" t="s">
        <v>14</v>
      </c>
      <c r="D44" s="43" t="s">
        <v>144</v>
      </c>
      <c r="E44" s="44" t="s">
        <v>16</v>
      </c>
      <c r="F44" s="50"/>
      <c r="G44" s="51"/>
      <c r="H44" s="50"/>
      <c r="I44" s="50" t="s">
        <v>26</v>
      </c>
      <c r="J44" s="50"/>
      <c r="K44" s="52" t="s">
        <v>145</v>
      </c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48.75" hidden="false" customHeight="true" outlineLevel="0" collapsed="false">
      <c r="A45" s="27" t="s">
        <v>142</v>
      </c>
      <c r="B45" s="28" t="s">
        <v>143</v>
      </c>
      <c r="C45" s="29" t="s">
        <v>20</v>
      </c>
      <c r="D45" s="28" t="s">
        <v>146</v>
      </c>
      <c r="E45" s="29" t="s">
        <v>22</v>
      </c>
      <c r="F45" s="5" t="s">
        <v>20</v>
      </c>
      <c r="G45" s="6" t="s">
        <v>205</v>
      </c>
      <c r="H45" s="5" t="s">
        <v>22</v>
      </c>
      <c r="I45" s="5" t="s">
        <v>18</v>
      </c>
      <c r="J45" s="5" t="s">
        <v>19</v>
      </c>
      <c r="K45" s="30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48.75" hidden="false" customHeight="true" outlineLevel="0" collapsed="false">
      <c r="A46" s="27" t="s">
        <v>142</v>
      </c>
      <c r="B46" s="28" t="s">
        <v>143</v>
      </c>
      <c r="C46" s="29" t="s">
        <v>24</v>
      </c>
      <c r="D46" s="28" t="s">
        <v>148</v>
      </c>
      <c r="E46" s="29" t="s">
        <v>22</v>
      </c>
      <c r="F46" s="5" t="s">
        <v>24</v>
      </c>
      <c r="G46" s="6" t="s">
        <v>206</v>
      </c>
      <c r="H46" s="5" t="s">
        <v>22</v>
      </c>
      <c r="I46" s="5" t="s">
        <v>18</v>
      </c>
      <c r="J46" s="5" t="s">
        <v>19</v>
      </c>
      <c r="K46" s="30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48.75" hidden="false" customHeight="true" outlineLevel="0" collapsed="false">
      <c r="A47" s="27" t="s">
        <v>142</v>
      </c>
      <c r="B47" s="28" t="s">
        <v>143</v>
      </c>
      <c r="C47" s="29" t="s">
        <v>28</v>
      </c>
      <c r="D47" s="28" t="s">
        <v>150</v>
      </c>
      <c r="E47" s="29" t="s">
        <v>22</v>
      </c>
      <c r="F47" s="56" t="s">
        <v>32</v>
      </c>
      <c r="G47" s="57" t="s">
        <v>207</v>
      </c>
      <c r="H47" s="56" t="s">
        <v>34</v>
      </c>
      <c r="I47" s="56" t="s">
        <v>18</v>
      </c>
      <c r="J47" s="56" t="s">
        <v>54</v>
      </c>
      <c r="K47" s="58" t="s">
        <v>208</v>
      </c>
      <c r="L47" s="56" t="s">
        <v>160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48.75" hidden="false" customHeight="true" outlineLevel="0" collapsed="false">
      <c r="A48" s="27" t="s">
        <v>142</v>
      </c>
      <c r="B48" s="28" t="s">
        <v>143</v>
      </c>
      <c r="C48" s="29" t="s">
        <v>32</v>
      </c>
      <c r="D48" s="28" t="s">
        <v>152</v>
      </c>
      <c r="E48" s="29" t="s">
        <v>34</v>
      </c>
      <c r="F48" s="56" t="s">
        <v>32</v>
      </c>
      <c r="G48" s="57" t="s">
        <v>207</v>
      </c>
      <c r="H48" s="56" t="s">
        <v>34</v>
      </c>
      <c r="I48" s="56" t="s">
        <v>18</v>
      </c>
      <c r="J48" s="56" t="s">
        <v>19</v>
      </c>
      <c r="K48" s="58" t="s">
        <v>209</v>
      </c>
      <c r="L48" s="56" t="s">
        <v>160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48.75" hidden="false" customHeight="true" outlineLevel="0" collapsed="false">
      <c r="A49" s="32" t="s">
        <v>142</v>
      </c>
      <c r="B49" s="33" t="s">
        <v>143</v>
      </c>
      <c r="C49" s="34" t="s">
        <v>64</v>
      </c>
      <c r="D49" s="33" t="s">
        <v>155</v>
      </c>
      <c r="E49" s="34" t="s">
        <v>66</v>
      </c>
      <c r="F49" s="35" t="s">
        <v>14</v>
      </c>
      <c r="G49" s="36" t="s">
        <v>210</v>
      </c>
      <c r="H49" s="35" t="s">
        <v>16</v>
      </c>
      <c r="I49" s="35" t="s">
        <v>18</v>
      </c>
      <c r="J49" s="35" t="s">
        <v>54</v>
      </c>
      <c r="K49" s="37" t="s">
        <v>68</v>
      </c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3">
    <dataValidation allowBlank="true" errorStyle="stop" operator="between" showDropDown="false" showErrorMessage="false" showInputMessage="false" sqref="I2:I49" type="list">
      <formula1>"Identificada,Não identificada"</formula1>
      <formula2>0</formula2>
    </dataValidation>
    <dataValidation allowBlank="true" errorStyle="stop" operator="between" showDropDown="false" showErrorMessage="false" showInputMessage="false" sqref="J2:J49" type="list">
      <formula1>"Coincide,Diverge"</formula1>
      <formula2>0</formula2>
    </dataValidation>
    <dataValidation allowBlank="true" errorStyle="stop" operator="between" showDropDown="false" showErrorMessage="false" showInputMessage="false" sqref="H2:H49" type="list">
      <formula1>"RF,RNF,RN,RST"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7" min="6" style="0" width="24"/>
  </cols>
  <sheetData>
    <row r="1" customFormat="false" ht="15" hidden="false" customHeight="true" outlineLevel="0" collapsed="false">
      <c r="A1" s="69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0" hidden="false" customHeight="true" outlineLevel="0" collapsed="false">
      <c r="A2" s="1" t="s">
        <v>0</v>
      </c>
      <c r="B2" s="1" t="s">
        <v>212</v>
      </c>
      <c r="C2" s="1" t="s">
        <v>5</v>
      </c>
      <c r="D2" s="1" t="s">
        <v>6</v>
      </c>
      <c r="E2" s="1" t="s">
        <v>7</v>
      </c>
      <c r="F2" s="70" t="s">
        <v>213</v>
      </c>
      <c r="G2" s="70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4.5" hidden="false" customHeight="true" outlineLevel="0" collapsed="false">
      <c r="A3" s="53" t="s">
        <v>12</v>
      </c>
      <c r="B3" s="53" t="s">
        <v>214</v>
      </c>
      <c r="C3" s="53" t="s">
        <v>37</v>
      </c>
      <c r="D3" s="54" t="s">
        <v>215</v>
      </c>
      <c r="E3" s="53" t="s">
        <v>34</v>
      </c>
      <c r="F3" s="71" t="s">
        <v>216</v>
      </c>
      <c r="G3" s="4" t="s">
        <v>217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4.5" hidden="false" customHeight="true" outlineLevel="0" collapsed="false">
      <c r="A4" s="53" t="s">
        <v>12</v>
      </c>
      <c r="B4" s="53" t="s">
        <v>214</v>
      </c>
      <c r="C4" s="53" t="s">
        <v>64</v>
      </c>
      <c r="D4" s="54" t="s">
        <v>218</v>
      </c>
      <c r="E4" s="53" t="s">
        <v>66</v>
      </c>
      <c r="F4" s="71" t="s">
        <v>216</v>
      </c>
      <c r="G4" s="4" t="s">
        <v>219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3.25" hidden="false" customHeight="true" outlineLevel="0" collapsed="false">
      <c r="A5" s="53" t="s">
        <v>12</v>
      </c>
      <c r="B5" s="53" t="s">
        <v>220</v>
      </c>
      <c r="C5" s="53" t="s">
        <v>20</v>
      </c>
      <c r="D5" s="54" t="s">
        <v>221</v>
      </c>
      <c r="E5" s="53" t="s">
        <v>22</v>
      </c>
      <c r="F5" s="71" t="s">
        <v>222</v>
      </c>
      <c r="G5" s="4" t="s">
        <v>223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4.5" hidden="false" customHeight="true" outlineLevel="0" collapsed="false">
      <c r="A6" s="53" t="s">
        <v>12</v>
      </c>
      <c r="B6" s="53" t="s">
        <v>220</v>
      </c>
      <c r="C6" s="53" t="s">
        <v>64</v>
      </c>
      <c r="D6" s="54" t="s">
        <v>224</v>
      </c>
      <c r="E6" s="53" t="s">
        <v>66</v>
      </c>
      <c r="F6" s="71" t="s">
        <v>216</v>
      </c>
      <c r="G6" s="4" t="s">
        <v>219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4.5" hidden="false" customHeight="true" outlineLevel="0" collapsed="false">
      <c r="A7" s="53" t="s">
        <v>40</v>
      </c>
      <c r="B7" s="53" t="s">
        <v>214</v>
      </c>
      <c r="C7" s="53" t="s">
        <v>20</v>
      </c>
      <c r="D7" s="54" t="s">
        <v>225</v>
      </c>
      <c r="E7" s="53" t="s">
        <v>22</v>
      </c>
      <c r="F7" s="71" t="s">
        <v>216</v>
      </c>
      <c r="G7" s="4" t="s">
        <v>226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4.5" hidden="false" customHeight="true" outlineLevel="0" collapsed="false">
      <c r="A8" s="53" t="s">
        <v>40</v>
      </c>
      <c r="B8" s="53" t="s">
        <v>214</v>
      </c>
      <c r="C8" s="53" t="s">
        <v>24</v>
      </c>
      <c r="D8" s="54" t="s">
        <v>227</v>
      </c>
      <c r="E8" s="53" t="s">
        <v>22</v>
      </c>
      <c r="F8" s="71" t="s">
        <v>216</v>
      </c>
      <c r="G8" s="4" t="s">
        <v>226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4.5" hidden="false" customHeight="true" outlineLevel="0" collapsed="false">
      <c r="A9" s="53" t="s">
        <v>40</v>
      </c>
      <c r="B9" s="53" t="s">
        <v>220</v>
      </c>
      <c r="C9" s="53" t="s">
        <v>20</v>
      </c>
      <c r="D9" s="54" t="s">
        <v>228</v>
      </c>
      <c r="E9" s="53" t="s">
        <v>22</v>
      </c>
      <c r="F9" s="71" t="s">
        <v>216</v>
      </c>
      <c r="G9" s="4" t="s">
        <v>226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4.5" hidden="false" customHeight="true" outlineLevel="0" collapsed="false">
      <c r="A10" s="53" t="s">
        <v>40</v>
      </c>
      <c r="B10" s="53" t="s">
        <v>220</v>
      </c>
      <c r="C10" s="53" t="s">
        <v>24</v>
      </c>
      <c r="D10" s="54" t="s">
        <v>229</v>
      </c>
      <c r="E10" s="53" t="s">
        <v>22</v>
      </c>
      <c r="F10" s="71" t="s">
        <v>216</v>
      </c>
      <c r="G10" s="4" t="s">
        <v>226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4.5" hidden="false" customHeight="true" outlineLevel="0" collapsed="false">
      <c r="A11" s="53" t="s">
        <v>40</v>
      </c>
      <c r="B11" s="53" t="s">
        <v>220</v>
      </c>
      <c r="C11" s="53" t="s">
        <v>32</v>
      </c>
      <c r="D11" s="54" t="s">
        <v>230</v>
      </c>
      <c r="E11" s="53" t="s">
        <v>34</v>
      </c>
      <c r="F11" s="71" t="s">
        <v>216</v>
      </c>
      <c r="G11" s="4" t="s">
        <v>231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25" hidden="false" customHeight="true" outlineLevel="0" collapsed="false">
      <c r="A12" s="53" t="s">
        <v>56</v>
      </c>
      <c r="B12" s="53" t="s">
        <v>214</v>
      </c>
      <c r="C12" s="53" t="s">
        <v>44</v>
      </c>
      <c r="D12" s="54" t="s">
        <v>232</v>
      </c>
      <c r="E12" s="53" t="s">
        <v>16</v>
      </c>
      <c r="F12" s="71" t="s">
        <v>216</v>
      </c>
      <c r="G12" s="4" t="s">
        <v>233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3.25" hidden="false" customHeight="true" outlineLevel="0" collapsed="false">
      <c r="A13" s="53" t="s">
        <v>56</v>
      </c>
      <c r="B13" s="53" t="s">
        <v>214</v>
      </c>
      <c r="C13" s="53" t="s">
        <v>20</v>
      </c>
      <c r="D13" s="54" t="s">
        <v>234</v>
      </c>
      <c r="E13" s="53" t="s">
        <v>22</v>
      </c>
      <c r="F13" s="71" t="s">
        <v>216</v>
      </c>
      <c r="G13" s="4" t="s">
        <v>235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3.25" hidden="false" customHeight="true" outlineLevel="0" collapsed="false">
      <c r="A14" s="53" t="s">
        <v>56</v>
      </c>
      <c r="B14" s="53" t="s">
        <v>220</v>
      </c>
      <c r="C14" s="53" t="s">
        <v>14</v>
      </c>
      <c r="D14" s="54" t="s">
        <v>236</v>
      </c>
      <c r="E14" s="53" t="s">
        <v>16</v>
      </c>
      <c r="F14" s="71" t="s">
        <v>216</v>
      </c>
      <c r="G14" s="4" t="s">
        <v>233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3.25" hidden="false" customHeight="true" outlineLevel="0" collapsed="false">
      <c r="A15" s="53" t="s">
        <v>56</v>
      </c>
      <c r="B15" s="53" t="s">
        <v>220</v>
      </c>
      <c r="C15" s="53" t="s">
        <v>20</v>
      </c>
      <c r="D15" s="54" t="s">
        <v>237</v>
      </c>
      <c r="E15" s="53" t="s">
        <v>22</v>
      </c>
      <c r="F15" s="71" t="s">
        <v>216</v>
      </c>
      <c r="G15" s="4" t="s">
        <v>235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4.5" hidden="false" customHeight="true" outlineLevel="0" collapsed="false">
      <c r="A16" s="53" t="s">
        <v>56</v>
      </c>
      <c r="B16" s="53" t="s">
        <v>220</v>
      </c>
      <c r="C16" s="53" t="s">
        <v>32</v>
      </c>
      <c r="D16" s="54" t="s">
        <v>238</v>
      </c>
      <c r="E16" s="53" t="s">
        <v>34</v>
      </c>
      <c r="F16" s="71" t="s">
        <v>216</v>
      </c>
      <c r="G16" s="4" t="s">
        <v>231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3.25" hidden="false" customHeight="true" outlineLevel="0" collapsed="false">
      <c r="A17" s="53" t="s">
        <v>69</v>
      </c>
      <c r="B17" s="53" t="s">
        <v>214</v>
      </c>
      <c r="C17" s="53" t="s">
        <v>24</v>
      </c>
      <c r="D17" s="54" t="s">
        <v>239</v>
      </c>
      <c r="E17" s="53" t="s">
        <v>22</v>
      </c>
      <c r="F17" s="71" t="s">
        <v>216</v>
      </c>
      <c r="G17" s="4" t="s">
        <v>240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3.25" hidden="false" customHeight="true" outlineLevel="0" collapsed="false">
      <c r="A18" s="53" t="s">
        <v>69</v>
      </c>
      <c r="B18" s="53" t="s">
        <v>220</v>
      </c>
      <c r="C18" s="53" t="s">
        <v>32</v>
      </c>
      <c r="D18" s="54" t="s">
        <v>241</v>
      </c>
      <c r="E18" s="53" t="s">
        <v>34</v>
      </c>
      <c r="F18" s="71" t="s">
        <v>216</v>
      </c>
      <c r="G18" s="4" t="s">
        <v>231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34.5" hidden="false" customHeight="true" outlineLevel="0" collapsed="false">
      <c r="A19" s="53" t="s">
        <v>81</v>
      </c>
      <c r="B19" s="53" t="s">
        <v>220</v>
      </c>
      <c r="C19" s="53" t="s">
        <v>24</v>
      </c>
      <c r="D19" s="54" t="s">
        <v>242</v>
      </c>
      <c r="E19" s="53" t="s">
        <v>22</v>
      </c>
      <c r="F19" s="71" t="s">
        <v>216</v>
      </c>
      <c r="G19" s="4" t="s">
        <v>243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3.25" hidden="false" customHeight="true" outlineLevel="0" collapsed="false">
      <c r="A20" s="53" t="s">
        <v>81</v>
      </c>
      <c r="B20" s="53" t="s">
        <v>220</v>
      </c>
      <c r="C20" s="53" t="s">
        <v>32</v>
      </c>
      <c r="D20" s="54" t="s">
        <v>244</v>
      </c>
      <c r="E20" s="53" t="s">
        <v>34</v>
      </c>
      <c r="F20" s="71" t="s">
        <v>216</v>
      </c>
      <c r="G20" s="4" t="s">
        <v>231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4.5" hidden="false" customHeight="true" outlineLevel="0" collapsed="false">
      <c r="A21" s="53" t="s">
        <v>81</v>
      </c>
      <c r="B21" s="53" t="s">
        <v>220</v>
      </c>
      <c r="C21" s="53" t="s">
        <v>64</v>
      </c>
      <c r="D21" s="54" t="s">
        <v>245</v>
      </c>
      <c r="E21" s="53" t="s">
        <v>66</v>
      </c>
      <c r="F21" s="71" t="s">
        <v>216</v>
      </c>
      <c r="G21" s="4" t="s">
        <v>231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3.25" hidden="false" customHeight="true" outlineLevel="0" collapsed="false">
      <c r="A22" s="53" t="s">
        <v>93</v>
      </c>
      <c r="B22" s="53" t="s">
        <v>220</v>
      </c>
      <c r="C22" s="53" t="s">
        <v>32</v>
      </c>
      <c r="D22" s="54" t="s">
        <v>246</v>
      </c>
      <c r="E22" s="53" t="s">
        <v>34</v>
      </c>
      <c r="F22" s="71" t="s">
        <v>216</v>
      </c>
      <c r="G22" s="4" t="s">
        <v>231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4.5" hidden="false" customHeight="true" outlineLevel="0" collapsed="false">
      <c r="A23" s="53" t="s">
        <v>93</v>
      </c>
      <c r="B23" s="53" t="s">
        <v>220</v>
      </c>
      <c r="C23" s="53" t="s">
        <v>37</v>
      </c>
      <c r="D23" s="54" t="s">
        <v>247</v>
      </c>
      <c r="E23" s="53" t="s">
        <v>34</v>
      </c>
      <c r="F23" s="71" t="s">
        <v>216</v>
      </c>
      <c r="G23" s="4" t="s">
        <v>248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3.25" hidden="false" customHeight="true" outlineLevel="0" collapsed="false">
      <c r="A24" s="53" t="s">
        <v>93</v>
      </c>
      <c r="B24" s="53" t="s">
        <v>220</v>
      </c>
      <c r="C24" s="53" t="s">
        <v>64</v>
      </c>
      <c r="D24" s="54" t="s">
        <v>249</v>
      </c>
      <c r="E24" s="53" t="s">
        <v>66</v>
      </c>
      <c r="F24" s="71" t="s">
        <v>216</v>
      </c>
      <c r="G24" s="4" t="s">
        <v>231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3.25" hidden="false" customHeight="true" outlineLevel="0" collapsed="false">
      <c r="A25" s="53" t="s">
        <v>105</v>
      </c>
      <c r="B25" s="53" t="s">
        <v>214</v>
      </c>
      <c r="C25" s="53" t="s">
        <v>20</v>
      </c>
      <c r="D25" s="54" t="s">
        <v>250</v>
      </c>
      <c r="E25" s="53" t="s">
        <v>22</v>
      </c>
      <c r="F25" s="71" t="s">
        <v>216</v>
      </c>
      <c r="G25" s="4" t="s">
        <v>251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4.5" hidden="false" customHeight="true" outlineLevel="0" collapsed="false">
      <c r="A26" s="53" t="s">
        <v>105</v>
      </c>
      <c r="B26" s="53" t="s">
        <v>220</v>
      </c>
      <c r="C26" s="53" t="s">
        <v>20</v>
      </c>
      <c r="D26" s="54" t="s">
        <v>252</v>
      </c>
      <c r="E26" s="53" t="s">
        <v>22</v>
      </c>
      <c r="F26" s="71" t="s">
        <v>216</v>
      </c>
      <c r="G26" s="4" t="s">
        <v>253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3.25" hidden="false" customHeight="true" outlineLevel="0" collapsed="false">
      <c r="A27" s="53" t="s">
        <v>105</v>
      </c>
      <c r="B27" s="53" t="s">
        <v>220</v>
      </c>
      <c r="C27" s="53" t="s">
        <v>64</v>
      </c>
      <c r="D27" s="54" t="s">
        <v>254</v>
      </c>
      <c r="E27" s="53" t="s">
        <v>66</v>
      </c>
      <c r="F27" s="71" t="s">
        <v>216</v>
      </c>
      <c r="G27" s="4" t="s">
        <v>231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4.5" hidden="false" customHeight="true" outlineLevel="0" collapsed="false">
      <c r="A28" s="53" t="s">
        <v>114</v>
      </c>
      <c r="B28" s="53" t="s">
        <v>214</v>
      </c>
      <c r="C28" s="53" t="s">
        <v>134</v>
      </c>
      <c r="D28" s="54" t="s">
        <v>255</v>
      </c>
      <c r="E28" s="53" t="s">
        <v>22</v>
      </c>
      <c r="F28" s="71" t="s">
        <v>222</v>
      </c>
      <c r="G28" s="4" t="s">
        <v>256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4.5" hidden="false" customHeight="true" outlineLevel="0" collapsed="false">
      <c r="A29" s="53" t="s">
        <v>114</v>
      </c>
      <c r="B29" s="53" t="s">
        <v>220</v>
      </c>
      <c r="C29" s="53" t="s">
        <v>32</v>
      </c>
      <c r="D29" s="54" t="s">
        <v>257</v>
      </c>
      <c r="E29" s="53" t="s">
        <v>34</v>
      </c>
      <c r="F29" s="71" t="s">
        <v>216</v>
      </c>
      <c r="G29" s="4" t="s">
        <v>258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34.5" hidden="false" customHeight="true" outlineLevel="0" collapsed="false">
      <c r="A30" s="53" t="s">
        <v>129</v>
      </c>
      <c r="B30" s="53" t="s">
        <v>214</v>
      </c>
      <c r="C30" s="53" t="s">
        <v>44</v>
      </c>
      <c r="D30" s="54" t="s">
        <v>259</v>
      </c>
      <c r="E30" s="53" t="s">
        <v>16</v>
      </c>
      <c r="F30" s="71" t="s">
        <v>216</v>
      </c>
      <c r="G30" s="4" t="s">
        <v>260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34.5" hidden="false" customHeight="true" outlineLevel="0" collapsed="false">
      <c r="A31" s="53" t="s">
        <v>129</v>
      </c>
      <c r="B31" s="53" t="s">
        <v>220</v>
      </c>
      <c r="C31" s="53" t="s">
        <v>32</v>
      </c>
      <c r="D31" s="54" t="s">
        <v>261</v>
      </c>
      <c r="E31" s="53" t="s">
        <v>34</v>
      </c>
      <c r="F31" s="71" t="s">
        <v>216</v>
      </c>
      <c r="G31" s="4" t="s">
        <v>258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3.25" hidden="false" customHeight="true" outlineLevel="0" collapsed="false">
      <c r="A32" s="53" t="s">
        <v>129</v>
      </c>
      <c r="B32" s="53" t="s">
        <v>220</v>
      </c>
      <c r="C32" s="53" t="s">
        <v>37</v>
      </c>
      <c r="D32" s="54" t="s">
        <v>262</v>
      </c>
      <c r="E32" s="53" t="s">
        <v>34</v>
      </c>
      <c r="F32" s="71" t="s">
        <v>216</v>
      </c>
      <c r="G32" s="4" t="s">
        <v>231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3.25" hidden="false" customHeight="true" outlineLevel="0" collapsed="false">
      <c r="A33" s="53" t="s">
        <v>142</v>
      </c>
      <c r="B33" s="53" t="s">
        <v>214</v>
      </c>
      <c r="C33" s="53" t="s">
        <v>44</v>
      </c>
      <c r="D33" s="54" t="s">
        <v>263</v>
      </c>
      <c r="E33" s="53" t="s">
        <v>16</v>
      </c>
      <c r="F33" s="71" t="s">
        <v>216</v>
      </c>
      <c r="G33" s="4" t="s">
        <v>264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34.5" hidden="false" customHeight="true" outlineLevel="0" collapsed="false">
      <c r="A34" s="53" t="s">
        <v>142</v>
      </c>
      <c r="B34" s="53" t="s">
        <v>214</v>
      </c>
      <c r="C34" s="53" t="s">
        <v>134</v>
      </c>
      <c r="D34" s="54" t="s">
        <v>265</v>
      </c>
      <c r="E34" s="53" t="s">
        <v>22</v>
      </c>
      <c r="F34" s="71" t="s">
        <v>216</v>
      </c>
      <c r="G34" s="4" t="s">
        <v>233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34.5" hidden="false" customHeight="true" outlineLevel="0" collapsed="false">
      <c r="A35" s="53" t="s">
        <v>142</v>
      </c>
      <c r="B35" s="53" t="s">
        <v>220</v>
      </c>
      <c r="C35" s="53" t="s">
        <v>37</v>
      </c>
      <c r="D35" s="54" t="s">
        <v>266</v>
      </c>
      <c r="E35" s="53" t="s">
        <v>34</v>
      </c>
      <c r="F35" s="71" t="s">
        <v>216</v>
      </c>
      <c r="G35" s="4" t="s">
        <v>267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4.5" hidden="false" customHeight="true" outlineLevel="0" collapsed="false">
      <c r="A36" s="53" t="s">
        <v>142</v>
      </c>
      <c r="B36" s="53" t="s">
        <v>220</v>
      </c>
      <c r="C36" s="53" t="s">
        <v>64</v>
      </c>
      <c r="D36" s="54" t="s">
        <v>268</v>
      </c>
      <c r="E36" s="53" t="s">
        <v>66</v>
      </c>
      <c r="F36" s="71" t="s">
        <v>216</v>
      </c>
      <c r="G36" s="4" t="s">
        <v>231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allowBlank="true" errorStyle="stop" operator="between" showDropDown="false" showErrorMessage="false" showInputMessage="false" sqref="F3:F36" type="list">
      <formula1>"Sim,Parcial,Não,Adicional sustentado"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58"/>
    <col collapsed="false" customWidth="true" hidden="false" outlineLevel="0" max="6" min="6" style="0" width="22"/>
    <col collapsed="false" customWidth="true" hidden="false" outlineLevel="0" max="7" min="7" style="0" width="11.14"/>
    <col collapsed="false" customWidth="true" hidden="false" outlineLevel="0" max="8" min="8" style="0" width="13.29"/>
    <col collapsed="false" customWidth="true" hidden="false" outlineLevel="0" max="9" min="9" style="0" width="14"/>
    <col collapsed="false" customWidth="true" hidden="false" outlineLevel="0" max="10" min="10" style="0" width="16.57"/>
    <col collapsed="false" customWidth="true" hidden="false" outlineLevel="0" max="11" min="11" style="0" width="100"/>
  </cols>
  <sheetData>
    <row r="1" customFormat="false" ht="30" hidden="false" customHeight="true" outlineLevel="0" collapsed="false">
      <c r="A1" s="72" t="s">
        <v>0</v>
      </c>
      <c r="B1" s="72" t="s">
        <v>269</v>
      </c>
      <c r="C1" s="72" t="s">
        <v>270</v>
      </c>
      <c r="D1" s="72" t="s">
        <v>271</v>
      </c>
      <c r="E1" s="72" t="s">
        <v>272</v>
      </c>
      <c r="F1" s="73" t="s">
        <v>213</v>
      </c>
      <c r="G1" s="72" t="s">
        <v>273</v>
      </c>
      <c r="H1" s="72" t="s">
        <v>274</v>
      </c>
      <c r="I1" s="73" t="s">
        <v>275</v>
      </c>
      <c r="J1" s="72" t="s">
        <v>276</v>
      </c>
      <c r="K1" s="72" t="s">
        <v>277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3.75" hidden="false" customHeight="true" outlineLevel="0" collapsed="false">
      <c r="A2" s="74" t="s">
        <v>12</v>
      </c>
      <c r="B2" s="74" t="s">
        <v>214</v>
      </c>
      <c r="C2" s="74" t="s">
        <v>20</v>
      </c>
      <c r="D2" s="74" t="s">
        <v>22</v>
      </c>
      <c r="E2" s="75" t="s">
        <v>23</v>
      </c>
      <c r="F2" s="74" t="s">
        <v>278</v>
      </c>
      <c r="G2" s="76" t="s">
        <v>279</v>
      </c>
      <c r="H2" s="76" t="s">
        <v>279</v>
      </c>
      <c r="I2" s="76" t="s">
        <v>279</v>
      </c>
      <c r="J2" s="76" t="s">
        <v>279</v>
      </c>
      <c r="K2" s="7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3.75" hidden="false" customHeight="true" outlineLevel="0" collapsed="false">
      <c r="A3" s="74" t="s">
        <v>12</v>
      </c>
      <c r="B3" s="74" t="s">
        <v>214</v>
      </c>
      <c r="C3" s="74" t="s">
        <v>24</v>
      </c>
      <c r="D3" s="74" t="s">
        <v>22</v>
      </c>
      <c r="E3" s="75" t="s">
        <v>30</v>
      </c>
      <c r="F3" s="74" t="s">
        <v>280</v>
      </c>
      <c r="G3" s="76" t="s">
        <v>279</v>
      </c>
      <c r="H3" s="76" t="s">
        <v>281</v>
      </c>
      <c r="I3" s="76" t="s">
        <v>279</v>
      </c>
      <c r="J3" s="76" t="s">
        <v>279</v>
      </c>
      <c r="K3" s="77" t="s">
        <v>282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3.75" hidden="false" customHeight="true" outlineLevel="0" collapsed="false">
      <c r="A4" s="74" t="s">
        <v>12</v>
      </c>
      <c r="B4" s="74" t="s">
        <v>214</v>
      </c>
      <c r="C4" s="74" t="s">
        <v>14</v>
      </c>
      <c r="D4" s="74" t="s">
        <v>16</v>
      </c>
      <c r="E4" s="75" t="s">
        <v>17</v>
      </c>
      <c r="F4" s="74" t="s">
        <v>278</v>
      </c>
      <c r="G4" s="76" t="s">
        <v>279</v>
      </c>
      <c r="H4" s="76" t="s">
        <v>279</v>
      </c>
      <c r="I4" s="76" t="s">
        <v>279</v>
      </c>
      <c r="J4" s="76" t="s">
        <v>279</v>
      </c>
      <c r="K4" s="7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48.75" hidden="false" customHeight="true" outlineLevel="0" collapsed="false">
      <c r="A5" s="74" t="s">
        <v>12</v>
      </c>
      <c r="B5" s="74" t="s">
        <v>214</v>
      </c>
      <c r="C5" s="74" t="s">
        <v>32</v>
      </c>
      <c r="D5" s="74" t="s">
        <v>34</v>
      </c>
      <c r="E5" s="75" t="s">
        <v>35</v>
      </c>
      <c r="F5" s="74" t="s">
        <v>280</v>
      </c>
      <c r="G5" s="76" t="s">
        <v>279</v>
      </c>
      <c r="H5" s="76" t="s">
        <v>281</v>
      </c>
      <c r="I5" s="76" t="s">
        <v>281</v>
      </c>
      <c r="J5" s="76" t="s">
        <v>281</v>
      </c>
      <c r="K5" s="77" t="s">
        <v>283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78.75" hidden="false" customHeight="true" outlineLevel="0" collapsed="false">
      <c r="A6" s="74" t="s">
        <v>12</v>
      </c>
      <c r="B6" s="74" t="s">
        <v>214</v>
      </c>
      <c r="C6" s="74" t="s">
        <v>37</v>
      </c>
      <c r="D6" s="74" t="s">
        <v>34</v>
      </c>
      <c r="E6" s="75" t="s">
        <v>215</v>
      </c>
      <c r="F6" s="74" t="s">
        <v>216</v>
      </c>
      <c r="G6" s="76" t="s">
        <v>279</v>
      </c>
      <c r="H6" s="76" t="s">
        <v>281</v>
      </c>
      <c r="I6" s="76" t="s">
        <v>281</v>
      </c>
      <c r="J6" s="76" t="s">
        <v>281</v>
      </c>
      <c r="K6" s="77" t="s">
        <v>284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8.75" hidden="false" customHeight="true" outlineLevel="0" collapsed="false">
      <c r="A7" s="74" t="s">
        <v>12</v>
      </c>
      <c r="B7" s="74" t="s">
        <v>214</v>
      </c>
      <c r="C7" s="74" t="s">
        <v>64</v>
      </c>
      <c r="D7" s="74" t="s">
        <v>66</v>
      </c>
      <c r="E7" s="75" t="s">
        <v>218</v>
      </c>
      <c r="F7" s="74" t="s">
        <v>216</v>
      </c>
      <c r="G7" s="76" t="s">
        <v>279</v>
      </c>
      <c r="H7" s="76" t="s">
        <v>279</v>
      </c>
      <c r="I7" s="76" t="s">
        <v>281</v>
      </c>
      <c r="J7" s="76" t="s">
        <v>279</v>
      </c>
      <c r="K7" s="77" t="s">
        <v>285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.75" hidden="false" customHeight="true" outlineLevel="0" collapsed="false">
      <c r="A8" s="74" t="s">
        <v>40</v>
      </c>
      <c r="B8" s="74" t="s">
        <v>214</v>
      </c>
      <c r="C8" s="74" t="s">
        <v>20</v>
      </c>
      <c r="D8" s="74" t="s">
        <v>22</v>
      </c>
      <c r="E8" s="75" t="s">
        <v>225</v>
      </c>
      <c r="F8" s="74" t="s">
        <v>216</v>
      </c>
      <c r="G8" s="76" t="s">
        <v>279</v>
      </c>
      <c r="H8" s="76" t="s">
        <v>279</v>
      </c>
      <c r="I8" s="76" t="s">
        <v>279</v>
      </c>
      <c r="J8" s="76" t="s">
        <v>279</v>
      </c>
      <c r="K8" s="75" t="s">
        <v>286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3.75" hidden="false" customHeight="true" outlineLevel="0" collapsed="false">
      <c r="A9" s="74" t="s">
        <v>40</v>
      </c>
      <c r="B9" s="74" t="s">
        <v>214</v>
      </c>
      <c r="C9" s="74" t="s">
        <v>24</v>
      </c>
      <c r="D9" s="74" t="s">
        <v>22</v>
      </c>
      <c r="E9" s="75" t="s">
        <v>227</v>
      </c>
      <c r="F9" s="74" t="s">
        <v>216</v>
      </c>
      <c r="G9" s="76" t="s">
        <v>279</v>
      </c>
      <c r="H9" s="76" t="s">
        <v>279</v>
      </c>
      <c r="I9" s="76" t="s">
        <v>279</v>
      </c>
      <c r="J9" s="76" t="s">
        <v>279</v>
      </c>
      <c r="K9" s="75" t="s">
        <v>286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3.75" hidden="false" customHeight="true" outlineLevel="0" collapsed="false">
      <c r="A10" s="74" t="s">
        <v>40</v>
      </c>
      <c r="B10" s="74" t="s">
        <v>214</v>
      </c>
      <c r="C10" s="74" t="s">
        <v>28</v>
      </c>
      <c r="D10" s="74" t="s">
        <v>22</v>
      </c>
      <c r="E10" s="75" t="s">
        <v>49</v>
      </c>
      <c r="F10" s="74" t="s">
        <v>278</v>
      </c>
      <c r="G10" s="76" t="s">
        <v>279</v>
      </c>
      <c r="H10" s="76" t="s">
        <v>281</v>
      </c>
      <c r="I10" s="76" t="s">
        <v>279</v>
      </c>
      <c r="J10" s="76" t="s">
        <v>279</v>
      </c>
      <c r="K10" s="77" t="s">
        <v>287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3.75" hidden="false" customHeight="true" outlineLevel="0" collapsed="false">
      <c r="A11" s="74" t="s">
        <v>40</v>
      </c>
      <c r="B11" s="74" t="s">
        <v>214</v>
      </c>
      <c r="C11" s="74" t="s">
        <v>14</v>
      </c>
      <c r="D11" s="74" t="s">
        <v>16</v>
      </c>
      <c r="E11" s="75" t="s">
        <v>46</v>
      </c>
      <c r="F11" s="74" t="s">
        <v>278</v>
      </c>
      <c r="G11" s="76" t="s">
        <v>279</v>
      </c>
      <c r="H11" s="76" t="s">
        <v>279</v>
      </c>
      <c r="I11" s="76" t="s">
        <v>279</v>
      </c>
      <c r="J11" s="76" t="s">
        <v>279</v>
      </c>
      <c r="K11" s="7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3.75" hidden="false" customHeight="true" outlineLevel="0" collapsed="false">
      <c r="A12" s="74" t="s">
        <v>40</v>
      </c>
      <c r="B12" s="74" t="s">
        <v>214</v>
      </c>
      <c r="C12" s="74" t="s">
        <v>44</v>
      </c>
      <c r="D12" s="74" t="s">
        <v>16</v>
      </c>
      <c r="E12" s="75" t="s">
        <v>53</v>
      </c>
      <c r="F12" s="74" t="s">
        <v>278</v>
      </c>
      <c r="G12" s="76" t="s">
        <v>279</v>
      </c>
      <c r="H12" s="76" t="s">
        <v>279</v>
      </c>
      <c r="I12" s="76" t="s">
        <v>279</v>
      </c>
      <c r="J12" s="76" t="s">
        <v>279</v>
      </c>
      <c r="K12" s="75" t="s">
        <v>55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8.75" hidden="false" customHeight="true" outlineLevel="0" collapsed="false">
      <c r="A13" s="74" t="s">
        <v>56</v>
      </c>
      <c r="B13" s="74" t="s">
        <v>214</v>
      </c>
      <c r="C13" s="74" t="s">
        <v>20</v>
      </c>
      <c r="D13" s="74" t="s">
        <v>22</v>
      </c>
      <c r="E13" s="75" t="s">
        <v>234</v>
      </c>
      <c r="F13" s="74" t="s">
        <v>216</v>
      </c>
      <c r="G13" s="76" t="s">
        <v>279</v>
      </c>
      <c r="H13" s="76" t="s">
        <v>279</v>
      </c>
      <c r="I13" s="76" t="s">
        <v>279</v>
      </c>
      <c r="J13" s="76" t="s">
        <v>279</v>
      </c>
      <c r="K13" s="75" t="s">
        <v>288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3.75" hidden="false" customHeight="true" outlineLevel="0" collapsed="false">
      <c r="A14" s="74" t="s">
        <v>56</v>
      </c>
      <c r="B14" s="74" t="s">
        <v>214</v>
      </c>
      <c r="C14" s="74" t="s">
        <v>24</v>
      </c>
      <c r="D14" s="74" t="s">
        <v>22</v>
      </c>
      <c r="E14" s="75" t="s">
        <v>59</v>
      </c>
      <c r="F14" s="74" t="s">
        <v>278</v>
      </c>
      <c r="G14" s="76" t="s">
        <v>279</v>
      </c>
      <c r="H14" s="76" t="s">
        <v>279</v>
      </c>
      <c r="I14" s="76" t="s">
        <v>279</v>
      </c>
      <c r="J14" s="76" t="s">
        <v>279</v>
      </c>
      <c r="K14" s="7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3.75" hidden="false" customHeight="true" outlineLevel="0" collapsed="false">
      <c r="A15" s="74" t="s">
        <v>56</v>
      </c>
      <c r="B15" s="74" t="s">
        <v>214</v>
      </c>
      <c r="C15" s="74" t="s">
        <v>28</v>
      </c>
      <c r="D15" s="74" t="s">
        <v>22</v>
      </c>
      <c r="E15" s="75" t="s">
        <v>61</v>
      </c>
      <c r="F15" s="74" t="s">
        <v>278</v>
      </c>
      <c r="G15" s="76" t="s">
        <v>279</v>
      </c>
      <c r="H15" s="76" t="s">
        <v>279</v>
      </c>
      <c r="I15" s="76" t="s">
        <v>279</v>
      </c>
      <c r="J15" s="76" t="s">
        <v>279</v>
      </c>
      <c r="K15" s="7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3.75" hidden="false" customHeight="true" outlineLevel="0" collapsed="false">
      <c r="A16" s="74" t="s">
        <v>56</v>
      </c>
      <c r="B16" s="74" t="s">
        <v>214</v>
      </c>
      <c r="C16" s="74" t="s">
        <v>14</v>
      </c>
      <c r="D16" s="74" t="s">
        <v>16</v>
      </c>
      <c r="E16" s="75" t="s">
        <v>67</v>
      </c>
      <c r="F16" s="74" t="s">
        <v>278</v>
      </c>
      <c r="G16" s="76" t="s">
        <v>279</v>
      </c>
      <c r="H16" s="76" t="s">
        <v>279</v>
      </c>
      <c r="I16" s="76" t="s">
        <v>279</v>
      </c>
      <c r="J16" s="76" t="s">
        <v>279</v>
      </c>
      <c r="K16" s="75" t="s">
        <v>289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63.75" hidden="false" customHeight="true" outlineLevel="0" collapsed="false">
      <c r="A17" s="74" t="s">
        <v>56</v>
      </c>
      <c r="B17" s="74" t="s">
        <v>214</v>
      </c>
      <c r="C17" s="74" t="s">
        <v>44</v>
      </c>
      <c r="D17" s="74" t="s">
        <v>16</v>
      </c>
      <c r="E17" s="75" t="s">
        <v>232</v>
      </c>
      <c r="F17" s="74" t="s">
        <v>216</v>
      </c>
      <c r="G17" s="76" t="s">
        <v>279</v>
      </c>
      <c r="H17" s="76" t="s">
        <v>279</v>
      </c>
      <c r="I17" s="76" t="s">
        <v>281</v>
      </c>
      <c r="J17" s="76" t="s">
        <v>281</v>
      </c>
      <c r="K17" s="77" t="s">
        <v>290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3.75" hidden="false" customHeight="true" outlineLevel="0" collapsed="false">
      <c r="A18" s="74" t="s">
        <v>69</v>
      </c>
      <c r="B18" s="74" t="s">
        <v>214</v>
      </c>
      <c r="C18" s="74" t="s">
        <v>20</v>
      </c>
      <c r="D18" s="74" t="s">
        <v>22</v>
      </c>
      <c r="E18" s="75" t="s">
        <v>74</v>
      </c>
      <c r="F18" s="74" t="s">
        <v>278</v>
      </c>
      <c r="G18" s="76" t="s">
        <v>279</v>
      </c>
      <c r="H18" s="76" t="s">
        <v>279</v>
      </c>
      <c r="I18" s="76" t="s">
        <v>279</v>
      </c>
      <c r="J18" s="76" t="s">
        <v>279</v>
      </c>
      <c r="K18" s="7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48.75" hidden="false" customHeight="true" outlineLevel="0" collapsed="false">
      <c r="A19" s="74" t="s">
        <v>69</v>
      </c>
      <c r="B19" s="74" t="s">
        <v>214</v>
      </c>
      <c r="C19" s="74" t="s">
        <v>24</v>
      </c>
      <c r="D19" s="74" t="s">
        <v>22</v>
      </c>
      <c r="E19" s="75" t="s">
        <v>239</v>
      </c>
      <c r="F19" s="74" t="s">
        <v>216</v>
      </c>
      <c r="G19" s="76" t="s">
        <v>279</v>
      </c>
      <c r="H19" s="76" t="s">
        <v>279</v>
      </c>
      <c r="I19" s="76" t="s">
        <v>279</v>
      </c>
      <c r="J19" s="76" t="s">
        <v>279</v>
      </c>
      <c r="K19" s="75" t="s">
        <v>291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3.75" hidden="false" customHeight="true" outlineLevel="0" collapsed="false">
      <c r="A20" s="74" t="s">
        <v>69</v>
      </c>
      <c r="B20" s="74" t="s">
        <v>214</v>
      </c>
      <c r="C20" s="74" t="s">
        <v>14</v>
      </c>
      <c r="D20" s="74" t="s">
        <v>16</v>
      </c>
      <c r="E20" s="75" t="s">
        <v>80</v>
      </c>
      <c r="F20" s="74" t="s">
        <v>278</v>
      </c>
      <c r="G20" s="76" t="s">
        <v>279</v>
      </c>
      <c r="H20" s="76" t="s">
        <v>279</v>
      </c>
      <c r="I20" s="76" t="s">
        <v>279</v>
      </c>
      <c r="J20" s="76" t="s">
        <v>279</v>
      </c>
      <c r="K20" s="75" t="s">
        <v>289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3.75" hidden="false" customHeight="true" outlineLevel="0" collapsed="false">
      <c r="A21" s="74" t="s">
        <v>69</v>
      </c>
      <c r="B21" s="74" t="s">
        <v>214</v>
      </c>
      <c r="C21" s="74" t="s">
        <v>44</v>
      </c>
      <c r="D21" s="74" t="s">
        <v>16</v>
      </c>
      <c r="E21" s="75" t="s">
        <v>72</v>
      </c>
      <c r="F21" s="74" t="s">
        <v>278</v>
      </c>
      <c r="G21" s="76" t="s">
        <v>279</v>
      </c>
      <c r="H21" s="76" t="s">
        <v>279</v>
      </c>
      <c r="I21" s="76" t="s">
        <v>279</v>
      </c>
      <c r="J21" s="76" t="s">
        <v>279</v>
      </c>
      <c r="K21" s="7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3.75" hidden="false" customHeight="true" outlineLevel="0" collapsed="false">
      <c r="A22" s="74" t="s">
        <v>81</v>
      </c>
      <c r="B22" s="74" t="s">
        <v>214</v>
      </c>
      <c r="C22" s="74" t="s">
        <v>20</v>
      </c>
      <c r="D22" s="74" t="s">
        <v>22</v>
      </c>
      <c r="E22" s="75" t="s">
        <v>86</v>
      </c>
      <c r="F22" s="74" t="s">
        <v>278</v>
      </c>
      <c r="G22" s="76" t="s">
        <v>279</v>
      </c>
      <c r="H22" s="76" t="s">
        <v>279</v>
      </c>
      <c r="I22" s="76" t="s">
        <v>279</v>
      </c>
      <c r="J22" s="76" t="s">
        <v>279</v>
      </c>
      <c r="K22" s="7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48.75" hidden="false" customHeight="true" outlineLevel="0" collapsed="false">
      <c r="A23" s="74" t="s">
        <v>81</v>
      </c>
      <c r="B23" s="74" t="s">
        <v>214</v>
      </c>
      <c r="C23" s="74" t="s">
        <v>24</v>
      </c>
      <c r="D23" s="74" t="s">
        <v>22</v>
      </c>
      <c r="E23" s="75" t="s">
        <v>88</v>
      </c>
      <c r="F23" s="74" t="s">
        <v>278</v>
      </c>
      <c r="G23" s="76" t="s">
        <v>279</v>
      </c>
      <c r="H23" s="76" t="s">
        <v>279</v>
      </c>
      <c r="I23" s="76" t="s">
        <v>281</v>
      </c>
      <c r="J23" s="76" t="s">
        <v>281</v>
      </c>
      <c r="K23" s="77" t="s">
        <v>292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33.75" hidden="false" customHeight="true" outlineLevel="0" collapsed="false">
      <c r="A24" s="74" t="s">
        <v>81</v>
      </c>
      <c r="B24" s="74" t="s">
        <v>214</v>
      </c>
      <c r="C24" s="74" t="s">
        <v>14</v>
      </c>
      <c r="D24" s="74" t="s">
        <v>16</v>
      </c>
      <c r="E24" s="75" t="s">
        <v>84</v>
      </c>
      <c r="F24" s="74" t="s">
        <v>278</v>
      </c>
      <c r="G24" s="76" t="s">
        <v>279</v>
      </c>
      <c r="H24" s="76" t="s">
        <v>279</v>
      </c>
      <c r="I24" s="76" t="s">
        <v>279</v>
      </c>
      <c r="J24" s="76" t="s">
        <v>279</v>
      </c>
      <c r="K24" s="7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33.75" hidden="false" customHeight="true" outlineLevel="0" collapsed="false">
      <c r="A25" s="74" t="s">
        <v>81</v>
      </c>
      <c r="B25" s="74" t="s">
        <v>214</v>
      </c>
      <c r="C25" s="74" t="s">
        <v>32</v>
      </c>
      <c r="D25" s="74" t="s">
        <v>34</v>
      </c>
      <c r="E25" s="75" t="s">
        <v>90</v>
      </c>
      <c r="F25" s="74" t="s">
        <v>278</v>
      </c>
      <c r="G25" s="76" t="s">
        <v>279</v>
      </c>
      <c r="H25" s="76" t="s">
        <v>281</v>
      </c>
      <c r="I25" s="76" t="s">
        <v>279</v>
      </c>
      <c r="J25" s="76" t="s">
        <v>281</v>
      </c>
      <c r="K25" s="77" t="s">
        <v>293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3.75" hidden="false" customHeight="true" outlineLevel="0" collapsed="false">
      <c r="A26" s="74" t="s">
        <v>93</v>
      </c>
      <c r="B26" s="74" t="s">
        <v>214</v>
      </c>
      <c r="C26" s="74" t="s">
        <v>20</v>
      </c>
      <c r="D26" s="74" t="s">
        <v>22</v>
      </c>
      <c r="E26" s="75" t="s">
        <v>99</v>
      </c>
      <c r="F26" s="74" t="s">
        <v>278</v>
      </c>
      <c r="G26" s="76" t="s">
        <v>279</v>
      </c>
      <c r="H26" s="76" t="s">
        <v>279</v>
      </c>
      <c r="I26" s="76" t="s">
        <v>279</v>
      </c>
      <c r="J26" s="76" t="s">
        <v>279</v>
      </c>
      <c r="K26" s="7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48.75" hidden="false" customHeight="true" outlineLevel="0" collapsed="false">
      <c r="A27" s="74" t="s">
        <v>93</v>
      </c>
      <c r="B27" s="74" t="s">
        <v>214</v>
      </c>
      <c r="C27" s="74" t="s">
        <v>24</v>
      </c>
      <c r="D27" s="74" t="s">
        <v>22</v>
      </c>
      <c r="E27" s="75" t="s">
        <v>101</v>
      </c>
      <c r="F27" s="74" t="s">
        <v>278</v>
      </c>
      <c r="G27" s="76" t="s">
        <v>279</v>
      </c>
      <c r="H27" s="76" t="s">
        <v>279</v>
      </c>
      <c r="I27" s="76" t="s">
        <v>281</v>
      </c>
      <c r="J27" s="76" t="s">
        <v>279</v>
      </c>
      <c r="K27" s="77" t="s">
        <v>294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78.75" hidden="false" customHeight="true" outlineLevel="0" collapsed="false">
      <c r="A28" s="74" t="s">
        <v>93</v>
      </c>
      <c r="B28" s="74" t="s">
        <v>214</v>
      </c>
      <c r="C28" s="74" t="s">
        <v>14</v>
      </c>
      <c r="D28" s="74" t="s">
        <v>16</v>
      </c>
      <c r="E28" s="75" t="s">
        <v>96</v>
      </c>
      <c r="F28" s="74" t="s">
        <v>280</v>
      </c>
      <c r="G28" s="76" t="s">
        <v>279</v>
      </c>
      <c r="H28" s="76" t="s">
        <v>281</v>
      </c>
      <c r="I28" s="76" t="s">
        <v>281</v>
      </c>
      <c r="J28" s="76" t="s">
        <v>281</v>
      </c>
      <c r="K28" s="77" t="s">
        <v>295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78.75" hidden="false" customHeight="true" outlineLevel="0" collapsed="false">
      <c r="A29" s="74" t="s">
        <v>93</v>
      </c>
      <c r="B29" s="74" t="s">
        <v>214</v>
      </c>
      <c r="C29" s="74" t="s">
        <v>32</v>
      </c>
      <c r="D29" s="74" t="s">
        <v>34</v>
      </c>
      <c r="E29" s="75" t="s">
        <v>103</v>
      </c>
      <c r="F29" s="74" t="s">
        <v>280</v>
      </c>
      <c r="G29" s="76" t="s">
        <v>279</v>
      </c>
      <c r="H29" s="76" t="s">
        <v>281</v>
      </c>
      <c r="I29" s="76" t="s">
        <v>281</v>
      </c>
      <c r="J29" s="76" t="s">
        <v>281</v>
      </c>
      <c r="K29" s="77" t="s">
        <v>296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48.75" hidden="false" customHeight="true" outlineLevel="0" collapsed="false">
      <c r="A30" s="74" t="s">
        <v>105</v>
      </c>
      <c r="B30" s="74" t="s">
        <v>214</v>
      </c>
      <c r="C30" s="74" t="s">
        <v>20</v>
      </c>
      <c r="D30" s="74" t="s">
        <v>22</v>
      </c>
      <c r="E30" s="75" t="s">
        <v>250</v>
      </c>
      <c r="F30" s="74" t="s">
        <v>216</v>
      </c>
      <c r="G30" s="76" t="s">
        <v>279</v>
      </c>
      <c r="H30" s="76" t="s">
        <v>279</v>
      </c>
      <c r="I30" s="76" t="s">
        <v>279</v>
      </c>
      <c r="J30" s="76" t="s">
        <v>279</v>
      </c>
      <c r="K30" s="75" t="s">
        <v>297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48.75" hidden="false" customHeight="true" outlineLevel="0" collapsed="false">
      <c r="A31" s="74" t="s">
        <v>105</v>
      </c>
      <c r="B31" s="74" t="s">
        <v>214</v>
      </c>
      <c r="C31" s="74" t="s">
        <v>24</v>
      </c>
      <c r="D31" s="74" t="s">
        <v>22</v>
      </c>
      <c r="E31" s="75" t="s">
        <v>110</v>
      </c>
      <c r="F31" s="74" t="s">
        <v>280</v>
      </c>
      <c r="G31" s="76" t="s">
        <v>279</v>
      </c>
      <c r="H31" s="76" t="s">
        <v>279</v>
      </c>
      <c r="I31" s="76" t="s">
        <v>279</v>
      </c>
      <c r="J31" s="76" t="s">
        <v>279</v>
      </c>
      <c r="K31" s="75" t="s">
        <v>111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48.75" hidden="false" customHeight="true" outlineLevel="0" collapsed="false">
      <c r="A32" s="74" t="s">
        <v>105</v>
      </c>
      <c r="B32" s="74" t="s">
        <v>214</v>
      </c>
      <c r="C32" s="74" t="s">
        <v>14</v>
      </c>
      <c r="D32" s="74" t="s">
        <v>16</v>
      </c>
      <c r="E32" s="75" t="s">
        <v>108</v>
      </c>
      <c r="F32" s="74" t="s">
        <v>278</v>
      </c>
      <c r="G32" s="76" t="s">
        <v>279</v>
      </c>
      <c r="H32" s="76" t="s">
        <v>279</v>
      </c>
      <c r="I32" s="76" t="s">
        <v>279</v>
      </c>
      <c r="J32" s="76" t="s">
        <v>279</v>
      </c>
      <c r="K32" s="7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63.75" hidden="false" customHeight="true" outlineLevel="0" collapsed="false">
      <c r="A33" s="74" t="s">
        <v>105</v>
      </c>
      <c r="B33" s="74" t="s">
        <v>214</v>
      </c>
      <c r="C33" s="74" t="s">
        <v>32</v>
      </c>
      <c r="D33" s="74" t="s">
        <v>34</v>
      </c>
      <c r="E33" s="75" t="s">
        <v>113</v>
      </c>
      <c r="F33" s="74" t="s">
        <v>278</v>
      </c>
      <c r="G33" s="76" t="s">
        <v>279</v>
      </c>
      <c r="H33" s="76" t="s">
        <v>279</v>
      </c>
      <c r="I33" s="76" t="s">
        <v>281</v>
      </c>
      <c r="J33" s="76" t="s">
        <v>281</v>
      </c>
      <c r="K33" s="77" t="s">
        <v>298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33.75" hidden="false" customHeight="true" outlineLevel="0" collapsed="false">
      <c r="A34" s="74" t="s">
        <v>114</v>
      </c>
      <c r="B34" s="74" t="s">
        <v>214</v>
      </c>
      <c r="C34" s="74" t="s">
        <v>20</v>
      </c>
      <c r="D34" s="74" t="s">
        <v>22</v>
      </c>
      <c r="E34" s="75" t="s">
        <v>118</v>
      </c>
      <c r="F34" s="74" t="s">
        <v>278</v>
      </c>
      <c r="G34" s="76" t="s">
        <v>279</v>
      </c>
      <c r="H34" s="76" t="s">
        <v>279</v>
      </c>
      <c r="I34" s="76" t="s">
        <v>279</v>
      </c>
      <c r="J34" s="76" t="s">
        <v>279</v>
      </c>
      <c r="K34" s="7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63.75" hidden="false" customHeight="true" outlineLevel="0" collapsed="false">
      <c r="A35" s="74" t="s">
        <v>114</v>
      </c>
      <c r="B35" s="74" t="s">
        <v>214</v>
      </c>
      <c r="C35" s="74" t="s">
        <v>24</v>
      </c>
      <c r="D35" s="74" t="s">
        <v>22</v>
      </c>
      <c r="E35" s="75" t="s">
        <v>120</v>
      </c>
      <c r="F35" s="74" t="s">
        <v>278</v>
      </c>
      <c r="G35" s="76" t="s">
        <v>279</v>
      </c>
      <c r="H35" s="76" t="s">
        <v>281</v>
      </c>
      <c r="I35" s="76" t="s">
        <v>281</v>
      </c>
      <c r="J35" s="76" t="s">
        <v>281</v>
      </c>
      <c r="K35" s="77" t="s">
        <v>299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48.75" hidden="false" customHeight="true" outlineLevel="0" collapsed="false">
      <c r="A36" s="74" t="s">
        <v>114</v>
      </c>
      <c r="B36" s="74" t="s">
        <v>214</v>
      </c>
      <c r="C36" s="74" t="s">
        <v>134</v>
      </c>
      <c r="D36" s="74" t="s">
        <v>22</v>
      </c>
      <c r="E36" s="75" t="s">
        <v>255</v>
      </c>
      <c r="F36" s="74" t="s">
        <v>222</v>
      </c>
      <c r="G36" s="76" t="s">
        <v>281</v>
      </c>
      <c r="H36" s="76" t="s">
        <v>279</v>
      </c>
      <c r="I36" s="76" t="s">
        <v>279</v>
      </c>
      <c r="J36" s="76" t="s">
        <v>279</v>
      </c>
      <c r="K36" s="77" t="s">
        <v>300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33.75" hidden="false" customHeight="true" outlineLevel="0" collapsed="false">
      <c r="A37" s="74" t="s">
        <v>114</v>
      </c>
      <c r="B37" s="74" t="s">
        <v>214</v>
      </c>
      <c r="C37" s="74" t="s">
        <v>14</v>
      </c>
      <c r="D37" s="74" t="s">
        <v>16</v>
      </c>
      <c r="E37" s="75" t="s">
        <v>128</v>
      </c>
      <c r="F37" s="74" t="s">
        <v>278</v>
      </c>
      <c r="G37" s="76" t="s">
        <v>279</v>
      </c>
      <c r="H37" s="76" t="s">
        <v>279</v>
      </c>
      <c r="I37" s="76" t="s">
        <v>279</v>
      </c>
      <c r="J37" s="76" t="s">
        <v>279</v>
      </c>
      <c r="K37" s="75" t="s">
        <v>289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33.75" hidden="false" customHeight="true" outlineLevel="0" collapsed="false">
      <c r="A38" s="74" t="s">
        <v>114</v>
      </c>
      <c r="B38" s="74" t="s">
        <v>214</v>
      </c>
      <c r="C38" s="74" t="s">
        <v>44</v>
      </c>
      <c r="D38" s="74" t="s">
        <v>16</v>
      </c>
      <c r="E38" s="75" t="s">
        <v>122</v>
      </c>
      <c r="F38" s="74" t="s">
        <v>278</v>
      </c>
      <c r="G38" s="76" t="s">
        <v>279</v>
      </c>
      <c r="H38" s="76" t="s">
        <v>279</v>
      </c>
      <c r="I38" s="76" t="s">
        <v>279</v>
      </c>
      <c r="J38" s="76" t="s">
        <v>279</v>
      </c>
      <c r="K38" s="75" t="s">
        <v>55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78.75" hidden="false" customHeight="true" outlineLevel="0" collapsed="false">
      <c r="A39" s="74" t="s">
        <v>114</v>
      </c>
      <c r="B39" s="74" t="s">
        <v>214</v>
      </c>
      <c r="C39" s="74" t="s">
        <v>32</v>
      </c>
      <c r="D39" s="74" t="s">
        <v>34</v>
      </c>
      <c r="E39" s="75" t="s">
        <v>125</v>
      </c>
      <c r="F39" s="74" t="s">
        <v>280</v>
      </c>
      <c r="G39" s="76" t="s">
        <v>279</v>
      </c>
      <c r="H39" s="76" t="s">
        <v>281</v>
      </c>
      <c r="I39" s="76" t="s">
        <v>281</v>
      </c>
      <c r="J39" s="76" t="s">
        <v>281</v>
      </c>
      <c r="K39" s="77" t="s">
        <v>301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8.75" hidden="false" customHeight="true" outlineLevel="0" collapsed="false">
      <c r="A40" s="74" t="s">
        <v>129</v>
      </c>
      <c r="B40" s="74" t="s">
        <v>214</v>
      </c>
      <c r="C40" s="74" t="s">
        <v>20</v>
      </c>
      <c r="D40" s="74" t="s">
        <v>22</v>
      </c>
      <c r="E40" s="75" t="s">
        <v>132</v>
      </c>
      <c r="F40" s="74" t="s">
        <v>278</v>
      </c>
      <c r="G40" s="76" t="s">
        <v>279</v>
      </c>
      <c r="H40" s="76" t="s">
        <v>279</v>
      </c>
      <c r="I40" s="76" t="s">
        <v>281</v>
      </c>
      <c r="J40" s="76" t="s">
        <v>279</v>
      </c>
      <c r="K40" s="77" t="s">
        <v>302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63.75" hidden="false" customHeight="true" outlineLevel="0" collapsed="false">
      <c r="A41" s="74" t="s">
        <v>129</v>
      </c>
      <c r="B41" s="74" t="s">
        <v>214</v>
      </c>
      <c r="C41" s="74" t="s">
        <v>24</v>
      </c>
      <c r="D41" s="74" t="s">
        <v>22</v>
      </c>
      <c r="E41" s="75" t="s">
        <v>138</v>
      </c>
      <c r="F41" s="74" t="s">
        <v>280</v>
      </c>
      <c r="G41" s="76" t="s">
        <v>279</v>
      </c>
      <c r="H41" s="76" t="s">
        <v>281</v>
      </c>
      <c r="I41" s="76" t="s">
        <v>281</v>
      </c>
      <c r="J41" s="76" t="s">
        <v>281</v>
      </c>
      <c r="K41" s="77" t="s">
        <v>303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63.75" hidden="false" customHeight="true" outlineLevel="0" collapsed="false">
      <c r="A42" s="74" t="s">
        <v>129</v>
      </c>
      <c r="B42" s="74" t="s">
        <v>214</v>
      </c>
      <c r="C42" s="74" t="s">
        <v>134</v>
      </c>
      <c r="D42" s="74" t="s">
        <v>22</v>
      </c>
      <c r="E42" s="75" t="s">
        <v>135</v>
      </c>
      <c r="F42" s="74" t="s">
        <v>278</v>
      </c>
      <c r="G42" s="76" t="s">
        <v>279</v>
      </c>
      <c r="H42" s="76" t="s">
        <v>281</v>
      </c>
      <c r="I42" s="76" t="s">
        <v>281</v>
      </c>
      <c r="J42" s="76" t="s">
        <v>281</v>
      </c>
      <c r="K42" s="77" t="s">
        <v>304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48.75" hidden="false" customHeight="true" outlineLevel="0" collapsed="false">
      <c r="A43" s="74" t="s">
        <v>129</v>
      </c>
      <c r="B43" s="74" t="s">
        <v>214</v>
      </c>
      <c r="C43" s="74" t="s">
        <v>14</v>
      </c>
      <c r="D43" s="74" t="s">
        <v>16</v>
      </c>
      <c r="E43" s="75" t="s">
        <v>141</v>
      </c>
      <c r="F43" s="74" t="s">
        <v>278</v>
      </c>
      <c r="G43" s="76" t="s">
        <v>279</v>
      </c>
      <c r="H43" s="76" t="s">
        <v>279</v>
      </c>
      <c r="I43" s="76" t="s">
        <v>281</v>
      </c>
      <c r="J43" s="76" t="s">
        <v>279</v>
      </c>
      <c r="K43" s="77" t="s">
        <v>305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48.75" hidden="false" customHeight="true" outlineLevel="0" collapsed="false">
      <c r="A44" s="74" t="s">
        <v>129</v>
      </c>
      <c r="B44" s="74" t="s">
        <v>214</v>
      </c>
      <c r="C44" s="74" t="s">
        <v>44</v>
      </c>
      <c r="D44" s="74" t="s">
        <v>16</v>
      </c>
      <c r="E44" s="75" t="s">
        <v>259</v>
      </c>
      <c r="F44" s="74" t="s">
        <v>216</v>
      </c>
      <c r="G44" s="76" t="s">
        <v>279</v>
      </c>
      <c r="H44" s="76" t="s">
        <v>279</v>
      </c>
      <c r="I44" s="76" t="s">
        <v>281</v>
      </c>
      <c r="J44" s="76" t="s">
        <v>279</v>
      </c>
      <c r="K44" s="77" t="s">
        <v>306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63.75" hidden="false" customHeight="true" outlineLevel="0" collapsed="false">
      <c r="A45" s="74" t="s">
        <v>142</v>
      </c>
      <c r="B45" s="74" t="s">
        <v>214</v>
      </c>
      <c r="C45" s="74" t="s">
        <v>20</v>
      </c>
      <c r="D45" s="74" t="s">
        <v>22</v>
      </c>
      <c r="E45" s="75" t="s">
        <v>149</v>
      </c>
      <c r="F45" s="74" t="s">
        <v>278</v>
      </c>
      <c r="G45" s="76" t="s">
        <v>281</v>
      </c>
      <c r="H45" s="76" t="s">
        <v>281</v>
      </c>
      <c r="I45" s="76" t="s">
        <v>281</v>
      </c>
      <c r="J45" s="76" t="s">
        <v>281</v>
      </c>
      <c r="K45" s="77" t="s">
        <v>307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48.75" hidden="false" customHeight="true" outlineLevel="0" collapsed="false">
      <c r="A46" s="74" t="s">
        <v>142</v>
      </c>
      <c r="B46" s="74" t="s">
        <v>214</v>
      </c>
      <c r="C46" s="74" t="s">
        <v>24</v>
      </c>
      <c r="D46" s="74" t="s">
        <v>22</v>
      </c>
      <c r="E46" s="75" t="s">
        <v>147</v>
      </c>
      <c r="F46" s="74" t="s">
        <v>278</v>
      </c>
      <c r="G46" s="76" t="s">
        <v>279</v>
      </c>
      <c r="H46" s="76" t="s">
        <v>279</v>
      </c>
      <c r="I46" s="76" t="s">
        <v>281</v>
      </c>
      <c r="J46" s="76" t="s">
        <v>279</v>
      </c>
      <c r="K46" s="77" t="s">
        <v>308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8.75" hidden="false" customHeight="true" outlineLevel="0" collapsed="false">
      <c r="A47" s="74" t="s">
        <v>142</v>
      </c>
      <c r="B47" s="74" t="s">
        <v>214</v>
      </c>
      <c r="C47" s="74" t="s">
        <v>134</v>
      </c>
      <c r="D47" s="74" t="s">
        <v>22</v>
      </c>
      <c r="E47" s="75" t="s">
        <v>265</v>
      </c>
      <c r="F47" s="74" t="s">
        <v>216</v>
      </c>
      <c r="G47" s="76" t="s">
        <v>279</v>
      </c>
      <c r="H47" s="76" t="s">
        <v>281</v>
      </c>
      <c r="I47" s="76" t="s">
        <v>281</v>
      </c>
      <c r="J47" s="76" t="s">
        <v>281</v>
      </c>
      <c r="K47" s="77" t="s">
        <v>309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33.75" hidden="false" customHeight="true" outlineLevel="0" collapsed="false">
      <c r="A48" s="74" t="s">
        <v>142</v>
      </c>
      <c r="B48" s="74" t="s">
        <v>214</v>
      </c>
      <c r="C48" s="74" t="s">
        <v>14</v>
      </c>
      <c r="D48" s="74" t="s">
        <v>16</v>
      </c>
      <c r="E48" s="75" t="s">
        <v>156</v>
      </c>
      <c r="F48" s="74" t="s">
        <v>278</v>
      </c>
      <c r="G48" s="76" t="s">
        <v>279</v>
      </c>
      <c r="H48" s="76" t="s">
        <v>279</v>
      </c>
      <c r="I48" s="76" t="s">
        <v>281</v>
      </c>
      <c r="J48" s="76" t="s">
        <v>279</v>
      </c>
      <c r="K48" s="77" t="s">
        <v>310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33.75" hidden="false" customHeight="true" outlineLevel="0" collapsed="false">
      <c r="A49" s="74" t="s">
        <v>142</v>
      </c>
      <c r="B49" s="74" t="s">
        <v>214</v>
      </c>
      <c r="C49" s="74" t="s">
        <v>44</v>
      </c>
      <c r="D49" s="74" t="s">
        <v>16</v>
      </c>
      <c r="E49" s="75" t="s">
        <v>263</v>
      </c>
      <c r="F49" s="74" t="s">
        <v>216</v>
      </c>
      <c r="G49" s="76" t="s">
        <v>279</v>
      </c>
      <c r="H49" s="76" t="s">
        <v>279</v>
      </c>
      <c r="I49" s="76" t="s">
        <v>279</v>
      </c>
      <c r="J49" s="76" t="s">
        <v>279</v>
      </c>
      <c r="K49" s="75" t="s">
        <v>311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78.75" hidden="false" customHeight="true" outlineLevel="0" collapsed="false">
      <c r="A50" s="74" t="s">
        <v>142</v>
      </c>
      <c r="B50" s="74" t="s">
        <v>214</v>
      </c>
      <c r="C50" s="74" t="s">
        <v>32</v>
      </c>
      <c r="D50" s="74" t="s">
        <v>34</v>
      </c>
      <c r="E50" s="75" t="s">
        <v>153</v>
      </c>
      <c r="F50" s="74" t="s">
        <v>280</v>
      </c>
      <c r="G50" s="76" t="s">
        <v>279</v>
      </c>
      <c r="H50" s="76" t="s">
        <v>281</v>
      </c>
      <c r="I50" s="76" t="s">
        <v>281</v>
      </c>
      <c r="J50" s="76" t="s">
        <v>281</v>
      </c>
      <c r="K50" s="77" t="s">
        <v>312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48.75" hidden="false" customHeight="true" outlineLevel="0" collapsed="false">
      <c r="A51" s="74" t="s">
        <v>12</v>
      </c>
      <c r="B51" s="74" t="s">
        <v>220</v>
      </c>
      <c r="C51" s="74" t="s">
        <v>20</v>
      </c>
      <c r="D51" s="74" t="s">
        <v>22</v>
      </c>
      <c r="E51" s="75" t="s">
        <v>221</v>
      </c>
      <c r="F51" s="74" t="s">
        <v>222</v>
      </c>
      <c r="G51" s="76" t="s">
        <v>281</v>
      </c>
      <c r="H51" s="76" t="s">
        <v>279</v>
      </c>
      <c r="I51" s="76" t="s">
        <v>279</v>
      </c>
      <c r="J51" s="76" t="s">
        <v>279</v>
      </c>
      <c r="K51" s="77" t="s">
        <v>313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48.75" hidden="false" customHeight="true" outlineLevel="0" collapsed="false">
      <c r="A52" s="74" t="s">
        <v>12</v>
      </c>
      <c r="B52" s="74" t="s">
        <v>220</v>
      </c>
      <c r="C52" s="74" t="s">
        <v>24</v>
      </c>
      <c r="D52" s="74" t="s">
        <v>22</v>
      </c>
      <c r="E52" s="75" t="s">
        <v>158</v>
      </c>
      <c r="F52" s="74" t="s">
        <v>278</v>
      </c>
      <c r="G52" s="76" t="s">
        <v>279</v>
      </c>
      <c r="H52" s="76" t="s">
        <v>279</v>
      </c>
      <c r="I52" s="76" t="s">
        <v>279</v>
      </c>
      <c r="J52" s="76" t="s">
        <v>279</v>
      </c>
      <c r="K52" s="75" t="s">
        <v>314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3.75" hidden="false" customHeight="true" outlineLevel="0" collapsed="false">
      <c r="A53" s="74" t="s">
        <v>12</v>
      </c>
      <c r="B53" s="74" t="s">
        <v>220</v>
      </c>
      <c r="C53" s="74" t="s">
        <v>14</v>
      </c>
      <c r="D53" s="74" t="s">
        <v>16</v>
      </c>
      <c r="E53" s="75" t="s">
        <v>157</v>
      </c>
      <c r="F53" s="74" t="s">
        <v>278</v>
      </c>
      <c r="G53" s="76" t="s">
        <v>279</v>
      </c>
      <c r="H53" s="76" t="s">
        <v>279</v>
      </c>
      <c r="I53" s="76" t="s">
        <v>279</v>
      </c>
      <c r="J53" s="76" t="s">
        <v>279</v>
      </c>
      <c r="K53" s="7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33.75" hidden="false" customHeight="true" outlineLevel="0" collapsed="false">
      <c r="A54" s="74" t="s">
        <v>12</v>
      </c>
      <c r="B54" s="74" t="s">
        <v>220</v>
      </c>
      <c r="C54" s="74" t="s">
        <v>32</v>
      </c>
      <c r="D54" s="74" t="s">
        <v>34</v>
      </c>
      <c r="E54" s="75" t="s">
        <v>163</v>
      </c>
      <c r="F54" s="74" t="s">
        <v>278</v>
      </c>
      <c r="G54" s="76" t="s">
        <v>279</v>
      </c>
      <c r="H54" s="76" t="s">
        <v>279</v>
      </c>
      <c r="I54" s="76" t="s">
        <v>279</v>
      </c>
      <c r="J54" s="76" t="s">
        <v>279</v>
      </c>
      <c r="K54" s="7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33.75" hidden="false" customHeight="true" outlineLevel="0" collapsed="false">
      <c r="A55" s="74" t="s">
        <v>12</v>
      </c>
      <c r="B55" s="74" t="s">
        <v>220</v>
      </c>
      <c r="C55" s="74" t="s">
        <v>37</v>
      </c>
      <c r="D55" s="74" t="s">
        <v>34</v>
      </c>
      <c r="E55" s="75" t="s">
        <v>164</v>
      </c>
      <c r="F55" s="74" t="s">
        <v>278</v>
      </c>
      <c r="G55" s="76" t="s">
        <v>279</v>
      </c>
      <c r="H55" s="76" t="s">
        <v>279</v>
      </c>
      <c r="I55" s="76" t="s">
        <v>279</v>
      </c>
      <c r="J55" s="76" t="s">
        <v>279</v>
      </c>
      <c r="K55" s="7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33.75" hidden="false" customHeight="true" outlineLevel="0" collapsed="false">
      <c r="A56" s="74" t="s">
        <v>12</v>
      </c>
      <c r="B56" s="74" t="s">
        <v>220</v>
      </c>
      <c r="C56" s="74" t="s">
        <v>64</v>
      </c>
      <c r="D56" s="74" t="s">
        <v>66</v>
      </c>
      <c r="E56" s="75" t="s">
        <v>224</v>
      </c>
      <c r="F56" s="74" t="s">
        <v>216</v>
      </c>
      <c r="G56" s="76" t="s">
        <v>279</v>
      </c>
      <c r="H56" s="76" t="s">
        <v>279</v>
      </c>
      <c r="I56" s="76" t="s">
        <v>279</v>
      </c>
      <c r="J56" s="76" t="s">
        <v>279</v>
      </c>
      <c r="K56" s="75" t="s">
        <v>315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48.75" hidden="false" customHeight="true" outlineLevel="0" collapsed="false">
      <c r="A57" s="74" t="s">
        <v>40</v>
      </c>
      <c r="B57" s="74" t="s">
        <v>220</v>
      </c>
      <c r="C57" s="74" t="s">
        <v>20</v>
      </c>
      <c r="D57" s="74" t="s">
        <v>22</v>
      </c>
      <c r="E57" s="75" t="s">
        <v>228</v>
      </c>
      <c r="F57" s="74" t="s">
        <v>216</v>
      </c>
      <c r="G57" s="76" t="s">
        <v>279</v>
      </c>
      <c r="H57" s="76" t="s">
        <v>279</v>
      </c>
      <c r="I57" s="76" t="s">
        <v>279</v>
      </c>
      <c r="J57" s="76" t="s">
        <v>279</v>
      </c>
      <c r="K57" s="75" t="s">
        <v>286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48.75" hidden="false" customHeight="true" outlineLevel="0" collapsed="false">
      <c r="A58" s="74" t="s">
        <v>40</v>
      </c>
      <c r="B58" s="74" t="s">
        <v>220</v>
      </c>
      <c r="C58" s="74" t="s">
        <v>24</v>
      </c>
      <c r="D58" s="74" t="s">
        <v>22</v>
      </c>
      <c r="E58" s="75" t="s">
        <v>229</v>
      </c>
      <c r="F58" s="74" t="s">
        <v>216</v>
      </c>
      <c r="G58" s="76" t="s">
        <v>279</v>
      </c>
      <c r="H58" s="76" t="s">
        <v>279</v>
      </c>
      <c r="I58" s="76" t="s">
        <v>279</v>
      </c>
      <c r="J58" s="76" t="s">
        <v>279</v>
      </c>
      <c r="K58" s="75" t="s">
        <v>286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48.75" hidden="false" customHeight="true" outlineLevel="0" collapsed="false">
      <c r="A59" s="74" t="s">
        <v>40</v>
      </c>
      <c r="B59" s="74" t="s">
        <v>220</v>
      </c>
      <c r="C59" s="74" t="s">
        <v>28</v>
      </c>
      <c r="D59" s="74" t="s">
        <v>22</v>
      </c>
      <c r="E59" s="75" t="s">
        <v>167</v>
      </c>
      <c r="F59" s="74" t="s">
        <v>278</v>
      </c>
      <c r="G59" s="76" t="s">
        <v>279</v>
      </c>
      <c r="H59" s="76" t="s">
        <v>279</v>
      </c>
      <c r="I59" s="76" t="s">
        <v>279</v>
      </c>
      <c r="J59" s="76" t="s">
        <v>279</v>
      </c>
      <c r="K59" s="75" t="s">
        <v>316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33.75" hidden="false" customHeight="true" outlineLevel="0" collapsed="false">
      <c r="A60" s="74" t="s">
        <v>40</v>
      </c>
      <c r="B60" s="74" t="s">
        <v>220</v>
      </c>
      <c r="C60" s="74" t="s">
        <v>14</v>
      </c>
      <c r="D60" s="74" t="s">
        <v>16</v>
      </c>
      <c r="E60" s="75" t="s">
        <v>166</v>
      </c>
      <c r="F60" s="74" t="s">
        <v>278</v>
      </c>
      <c r="G60" s="76" t="s">
        <v>279</v>
      </c>
      <c r="H60" s="76" t="s">
        <v>279</v>
      </c>
      <c r="I60" s="76" t="s">
        <v>279</v>
      </c>
      <c r="J60" s="76" t="s">
        <v>279</v>
      </c>
      <c r="K60" s="7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33.75" hidden="false" customHeight="true" outlineLevel="0" collapsed="false">
      <c r="A61" s="74" t="s">
        <v>40</v>
      </c>
      <c r="B61" s="74" t="s">
        <v>220</v>
      </c>
      <c r="C61" s="74" t="s">
        <v>44</v>
      </c>
      <c r="D61" s="74" t="s">
        <v>16</v>
      </c>
      <c r="E61" s="75" t="s">
        <v>165</v>
      </c>
      <c r="F61" s="74" t="s">
        <v>278</v>
      </c>
      <c r="G61" s="76" t="s">
        <v>279</v>
      </c>
      <c r="H61" s="76" t="s">
        <v>279</v>
      </c>
      <c r="I61" s="76" t="s">
        <v>279</v>
      </c>
      <c r="J61" s="76" t="s">
        <v>279</v>
      </c>
      <c r="K61" s="7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48.75" hidden="false" customHeight="true" outlineLevel="0" collapsed="false">
      <c r="A62" s="74" t="s">
        <v>40</v>
      </c>
      <c r="B62" s="74" t="s">
        <v>220</v>
      </c>
      <c r="C62" s="74" t="s">
        <v>32</v>
      </c>
      <c r="D62" s="74" t="s">
        <v>34</v>
      </c>
      <c r="E62" s="75" t="s">
        <v>230</v>
      </c>
      <c r="F62" s="74" t="s">
        <v>216</v>
      </c>
      <c r="G62" s="76" t="s">
        <v>279</v>
      </c>
      <c r="H62" s="76" t="s">
        <v>279</v>
      </c>
      <c r="I62" s="76" t="s">
        <v>279</v>
      </c>
      <c r="J62" s="76" t="s">
        <v>279</v>
      </c>
      <c r="K62" s="4" t="s">
        <v>317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33.75" hidden="false" customHeight="true" outlineLevel="0" collapsed="false">
      <c r="A63" s="74" t="s">
        <v>56</v>
      </c>
      <c r="B63" s="74" t="s">
        <v>220</v>
      </c>
      <c r="C63" s="74" t="s">
        <v>20</v>
      </c>
      <c r="D63" s="74" t="s">
        <v>22</v>
      </c>
      <c r="E63" s="75" t="s">
        <v>237</v>
      </c>
      <c r="F63" s="74" t="s">
        <v>216</v>
      </c>
      <c r="G63" s="76" t="s">
        <v>279</v>
      </c>
      <c r="H63" s="76" t="s">
        <v>279</v>
      </c>
      <c r="I63" s="76" t="s">
        <v>279</v>
      </c>
      <c r="J63" s="76" t="s">
        <v>279</v>
      </c>
      <c r="K63" s="75" t="s">
        <v>288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48.75" hidden="false" customHeight="true" outlineLevel="0" collapsed="false">
      <c r="A64" s="74" t="s">
        <v>56</v>
      </c>
      <c r="B64" s="74" t="s">
        <v>220</v>
      </c>
      <c r="C64" s="74" t="s">
        <v>24</v>
      </c>
      <c r="D64" s="74" t="s">
        <v>22</v>
      </c>
      <c r="E64" s="75" t="s">
        <v>175</v>
      </c>
      <c r="F64" s="74" t="s">
        <v>278</v>
      </c>
      <c r="G64" s="76" t="s">
        <v>279</v>
      </c>
      <c r="H64" s="76" t="s">
        <v>279</v>
      </c>
      <c r="I64" s="76" t="s">
        <v>279</v>
      </c>
      <c r="J64" s="76" t="s">
        <v>279</v>
      </c>
      <c r="K64" s="7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33.75" hidden="false" customHeight="true" outlineLevel="0" collapsed="false">
      <c r="A65" s="74" t="s">
        <v>56</v>
      </c>
      <c r="B65" s="74" t="s">
        <v>220</v>
      </c>
      <c r="C65" s="74" t="s">
        <v>28</v>
      </c>
      <c r="D65" s="74" t="s">
        <v>22</v>
      </c>
      <c r="E65" s="75" t="s">
        <v>172</v>
      </c>
      <c r="F65" s="74" t="s">
        <v>278</v>
      </c>
      <c r="G65" s="76" t="s">
        <v>279</v>
      </c>
      <c r="H65" s="76" t="s">
        <v>279</v>
      </c>
      <c r="I65" s="76" t="s">
        <v>279</v>
      </c>
      <c r="J65" s="76" t="s">
        <v>279</v>
      </c>
      <c r="K65" s="75" t="s">
        <v>318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63.75" hidden="false" customHeight="true" outlineLevel="0" collapsed="false">
      <c r="A66" s="74" t="s">
        <v>56</v>
      </c>
      <c r="B66" s="74" t="s">
        <v>220</v>
      </c>
      <c r="C66" s="74" t="s">
        <v>14</v>
      </c>
      <c r="D66" s="74" t="s">
        <v>16</v>
      </c>
      <c r="E66" s="75" t="s">
        <v>236</v>
      </c>
      <c r="F66" s="74" t="s">
        <v>216</v>
      </c>
      <c r="G66" s="76" t="s">
        <v>279</v>
      </c>
      <c r="H66" s="76" t="s">
        <v>279</v>
      </c>
      <c r="I66" s="76" t="s">
        <v>281</v>
      </c>
      <c r="J66" s="76" t="s">
        <v>281</v>
      </c>
      <c r="K66" s="77" t="s">
        <v>319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48.75" hidden="false" customHeight="true" outlineLevel="0" collapsed="false">
      <c r="A67" s="74" t="s">
        <v>56</v>
      </c>
      <c r="B67" s="74" t="s">
        <v>220</v>
      </c>
      <c r="C67" s="74" t="s">
        <v>44</v>
      </c>
      <c r="D67" s="74" t="s">
        <v>16</v>
      </c>
      <c r="E67" s="75" t="s">
        <v>176</v>
      </c>
      <c r="F67" s="74" t="s">
        <v>278</v>
      </c>
      <c r="G67" s="76" t="s">
        <v>279</v>
      </c>
      <c r="H67" s="76" t="s">
        <v>279</v>
      </c>
      <c r="I67" s="76" t="s">
        <v>279</v>
      </c>
      <c r="J67" s="76" t="s">
        <v>279</v>
      </c>
      <c r="K67" s="75" t="s">
        <v>289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48.75" hidden="false" customHeight="true" outlineLevel="0" collapsed="false">
      <c r="A68" s="74" t="s">
        <v>56</v>
      </c>
      <c r="B68" s="74" t="s">
        <v>220</v>
      </c>
      <c r="C68" s="74" t="s">
        <v>32</v>
      </c>
      <c r="D68" s="74" t="s">
        <v>34</v>
      </c>
      <c r="E68" s="75" t="s">
        <v>238</v>
      </c>
      <c r="F68" s="74" t="s">
        <v>216</v>
      </c>
      <c r="G68" s="76" t="s">
        <v>279</v>
      </c>
      <c r="H68" s="76" t="s">
        <v>279</v>
      </c>
      <c r="I68" s="76" t="s">
        <v>279</v>
      </c>
      <c r="J68" s="76" t="s">
        <v>279</v>
      </c>
      <c r="K68" s="4" t="s">
        <v>317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33.75" hidden="false" customHeight="true" outlineLevel="0" collapsed="false">
      <c r="A69" s="74" t="s">
        <v>69</v>
      </c>
      <c r="B69" s="74" t="s">
        <v>220</v>
      </c>
      <c r="C69" s="74" t="s">
        <v>20</v>
      </c>
      <c r="D69" s="74" t="s">
        <v>22</v>
      </c>
      <c r="E69" s="75" t="s">
        <v>178</v>
      </c>
      <c r="F69" s="74" t="s">
        <v>278</v>
      </c>
      <c r="G69" s="76" t="s">
        <v>279</v>
      </c>
      <c r="H69" s="76" t="s">
        <v>279</v>
      </c>
      <c r="I69" s="76" t="s">
        <v>279</v>
      </c>
      <c r="J69" s="76" t="s">
        <v>279</v>
      </c>
      <c r="K69" s="7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33.75" hidden="false" customHeight="true" outlineLevel="0" collapsed="false">
      <c r="A70" s="74" t="s">
        <v>69</v>
      </c>
      <c r="B70" s="74" t="s">
        <v>220</v>
      </c>
      <c r="C70" s="74" t="s">
        <v>24</v>
      </c>
      <c r="D70" s="74" t="s">
        <v>22</v>
      </c>
      <c r="E70" s="75" t="s">
        <v>180</v>
      </c>
      <c r="F70" s="74" t="s">
        <v>278</v>
      </c>
      <c r="G70" s="76" t="s">
        <v>279</v>
      </c>
      <c r="H70" s="76" t="s">
        <v>279</v>
      </c>
      <c r="I70" s="76" t="s">
        <v>279</v>
      </c>
      <c r="J70" s="76" t="s">
        <v>279</v>
      </c>
      <c r="K70" s="7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33.75" hidden="false" customHeight="true" outlineLevel="0" collapsed="false">
      <c r="A71" s="74" t="s">
        <v>69</v>
      </c>
      <c r="B71" s="74" t="s">
        <v>220</v>
      </c>
      <c r="C71" s="74" t="s">
        <v>28</v>
      </c>
      <c r="D71" s="74" t="s">
        <v>22</v>
      </c>
      <c r="E71" s="75" t="s">
        <v>179</v>
      </c>
      <c r="F71" s="74" t="s">
        <v>278</v>
      </c>
      <c r="G71" s="76" t="s">
        <v>279</v>
      </c>
      <c r="H71" s="76" t="s">
        <v>279</v>
      </c>
      <c r="I71" s="76" t="s">
        <v>279</v>
      </c>
      <c r="J71" s="76" t="s">
        <v>279</v>
      </c>
      <c r="K71" s="7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33.75" hidden="false" customHeight="true" outlineLevel="0" collapsed="false">
      <c r="A72" s="74" t="s">
        <v>69</v>
      </c>
      <c r="B72" s="74" t="s">
        <v>220</v>
      </c>
      <c r="C72" s="74" t="s">
        <v>14</v>
      </c>
      <c r="D72" s="74" t="s">
        <v>16</v>
      </c>
      <c r="E72" s="75" t="s">
        <v>181</v>
      </c>
      <c r="F72" s="74" t="s">
        <v>278</v>
      </c>
      <c r="G72" s="76" t="s">
        <v>279</v>
      </c>
      <c r="H72" s="76" t="s">
        <v>279</v>
      </c>
      <c r="I72" s="76" t="s">
        <v>279</v>
      </c>
      <c r="J72" s="76" t="s">
        <v>279</v>
      </c>
      <c r="K72" s="75" t="s">
        <v>289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33.75" hidden="false" customHeight="true" outlineLevel="0" collapsed="false">
      <c r="A73" s="74" t="s">
        <v>69</v>
      </c>
      <c r="B73" s="74" t="s">
        <v>220</v>
      </c>
      <c r="C73" s="74" t="s">
        <v>44</v>
      </c>
      <c r="D73" s="74" t="s">
        <v>16</v>
      </c>
      <c r="E73" s="75" t="s">
        <v>177</v>
      </c>
      <c r="F73" s="74" t="s">
        <v>278</v>
      </c>
      <c r="G73" s="76" t="s">
        <v>279</v>
      </c>
      <c r="H73" s="76" t="s">
        <v>279</v>
      </c>
      <c r="I73" s="76" t="s">
        <v>279</v>
      </c>
      <c r="J73" s="76" t="s">
        <v>279</v>
      </c>
      <c r="K73" s="7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48.75" hidden="false" customHeight="true" outlineLevel="0" collapsed="false">
      <c r="A74" s="74" t="s">
        <v>69</v>
      </c>
      <c r="B74" s="74" t="s">
        <v>220</v>
      </c>
      <c r="C74" s="74" t="s">
        <v>32</v>
      </c>
      <c r="D74" s="74" t="s">
        <v>34</v>
      </c>
      <c r="E74" s="75" t="s">
        <v>241</v>
      </c>
      <c r="F74" s="74" t="s">
        <v>216</v>
      </c>
      <c r="G74" s="76" t="s">
        <v>279</v>
      </c>
      <c r="H74" s="76" t="s">
        <v>279</v>
      </c>
      <c r="I74" s="76" t="s">
        <v>279</v>
      </c>
      <c r="J74" s="76" t="s">
        <v>279</v>
      </c>
      <c r="K74" s="4" t="s">
        <v>317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78.75" hidden="false" customHeight="true" outlineLevel="0" collapsed="false">
      <c r="A75" s="74" t="s">
        <v>81</v>
      </c>
      <c r="B75" s="74" t="s">
        <v>220</v>
      </c>
      <c r="C75" s="74" t="s">
        <v>20</v>
      </c>
      <c r="D75" s="74" t="s">
        <v>22</v>
      </c>
      <c r="E75" s="75" t="s">
        <v>183</v>
      </c>
      <c r="F75" s="74" t="s">
        <v>278</v>
      </c>
      <c r="G75" s="76" t="s">
        <v>279</v>
      </c>
      <c r="H75" s="76" t="s">
        <v>279</v>
      </c>
      <c r="I75" s="76" t="s">
        <v>281</v>
      </c>
      <c r="J75" s="76" t="s">
        <v>281</v>
      </c>
      <c r="K75" s="77" t="s">
        <v>320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33.75" hidden="false" customHeight="true" outlineLevel="0" collapsed="false">
      <c r="A76" s="74" t="s">
        <v>81</v>
      </c>
      <c r="B76" s="74" t="s">
        <v>220</v>
      </c>
      <c r="C76" s="74" t="s">
        <v>24</v>
      </c>
      <c r="D76" s="74" t="s">
        <v>22</v>
      </c>
      <c r="E76" s="75" t="s">
        <v>242</v>
      </c>
      <c r="F76" s="74" t="s">
        <v>216</v>
      </c>
      <c r="G76" s="76" t="s">
        <v>279</v>
      </c>
      <c r="H76" s="76" t="s">
        <v>279</v>
      </c>
      <c r="I76" s="76" t="s">
        <v>279</v>
      </c>
      <c r="J76" s="76" t="s">
        <v>279</v>
      </c>
      <c r="K76" s="75" t="s">
        <v>321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33.75" hidden="false" customHeight="true" outlineLevel="0" collapsed="false">
      <c r="A77" s="74" t="s">
        <v>81</v>
      </c>
      <c r="B77" s="74" t="s">
        <v>220</v>
      </c>
      <c r="C77" s="74" t="s">
        <v>14</v>
      </c>
      <c r="D77" s="74" t="s">
        <v>16</v>
      </c>
      <c r="E77" s="75" t="s">
        <v>182</v>
      </c>
      <c r="F77" s="74" t="s">
        <v>278</v>
      </c>
      <c r="G77" s="76" t="s">
        <v>279</v>
      </c>
      <c r="H77" s="76" t="s">
        <v>279</v>
      </c>
      <c r="I77" s="76" t="s">
        <v>279</v>
      </c>
      <c r="J77" s="76" t="s">
        <v>279</v>
      </c>
      <c r="K77" s="7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48.75" hidden="false" customHeight="true" outlineLevel="0" collapsed="false">
      <c r="A78" s="74" t="s">
        <v>81</v>
      </c>
      <c r="B78" s="74" t="s">
        <v>220</v>
      </c>
      <c r="C78" s="74" t="s">
        <v>32</v>
      </c>
      <c r="D78" s="74" t="s">
        <v>34</v>
      </c>
      <c r="E78" s="75" t="s">
        <v>244</v>
      </c>
      <c r="F78" s="74" t="s">
        <v>216</v>
      </c>
      <c r="G78" s="76" t="s">
        <v>279</v>
      </c>
      <c r="H78" s="76" t="s">
        <v>279</v>
      </c>
      <c r="I78" s="76" t="s">
        <v>279</v>
      </c>
      <c r="J78" s="76" t="s">
        <v>279</v>
      </c>
      <c r="K78" s="4" t="s">
        <v>317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48.75" hidden="false" customHeight="true" outlineLevel="0" collapsed="false">
      <c r="A79" s="74" t="s">
        <v>81</v>
      </c>
      <c r="B79" s="74" t="s">
        <v>220</v>
      </c>
      <c r="C79" s="74" t="s">
        <v>37</v>
      </c>
      <c r="D79" s="74" t="s">
        <v>34</v>
      </c>
      <c r="E79" s="75" t="s">
        <v>185</v>
      </c>
      <c r="F79" s="74" t="s">
        <v>278</v>
      </c>
      <c r="G79" s="76" t="s">
        <v>279</v>
      </c>
      <c r="H79" s="76" t="s">
        <v>281</v>
      </c>
      <c r="I79" s="76" t="s">
        <v>279</v>
      </c>
      <c r="J79" s="76" t="s">
        <v>281</v>
      </c>
      <c r="K79" s="77" t="s">
        <v>322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3.75" hidden="false" customHeight="true" outlineLevel="0" collapsed="false">
      <c r="A80" s="74" t="s">
        <v>81</v>
      </c>
      <c r="B80" s="74" t="s">
        <v>220</v>
      </c>
      <c r="C80" s="74" t="s">
        <v>64</v>
      </c>
      <c r="D80" s="74" t="s">
        <v>66</v>
      </c>
      <c r="E80" s="75" t="s">
        <v>245</v>
      </c>
      <c r="F80" s="74" t="s">
        <v>216</v>
      </c>
      <c r="G80" s="76" t="s">
        <v>279</v>
      </c>
      <c r="H80" s="76" t="s">
        <v>281</v>
      </c>
      <c r="I80" s="76" t="s">
        <v>281</v>
      </c>
      <c r="J80" s="76" t="s">
        <v>281</v>
      </c>
      <c r="K80" s="4" t="s">
        <v>323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33.75" hidden="false" customHeight="true" outlineLevel="0" collapsed="false">
      <c r="A81" s="74" t="s">
        <v>93</v>
      </c>
      <c r="B81" s="74" t="s">
        <v>220</v>
      </c>
      <c r="C81" s="74" t="s">
        <v>20</v>
      </c>
      <c r="D81" s="74" t="s">
        <v>22</v>
      </c>
      <c r="E81" s="75" t="s">
        <v>188</v>
      </c>
      <c r="F81" s="74" t="s">
        <v>278</v>
      </c>
      <c r="G81" s="76" t="s">
        <v>279</v>
      </c>
      <c r="H81" s="76" t="s">
        <v>279</v>
      </c>
      <c r="I81" s="76" t="s">
        <v>279</v>
      </c>
      <c r="J81" s="76" t="s">
        <v>279</v>
      </c>
      <c r="K81" s="7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33.75" hidden="false" customHeight="true" outlineLevel="0" collapsed="false">
      <c r="A82" s="74" t="s">
        <v>93</v>
      </c>
      <c r="B82" s="74" t="s">
        <v>220</v>
      </c>
      <c r="C82" s="74" t="s">
        <v>24</v>
      </c>
      <c r="D82" s="74" t="s">
        <v>22</v>
      </c>
      <c r="E82" s="75" t="s">
        <v>189</v>
      </c>
      <c r="F82" s="74" t="s">
        <v>278</v>
      </c>
      <c r="G82" s="76" t="s">
        <v>279</v>
      </c>
      <c r="H82" s="76" t="s">
        <v>279</v>
      </c>
      <c r="I82" s="76" t="s">
        <v>281</v>
      </c>
      <c r="J82" s="76" t="s">
        <v>279</v>
      </c>
      <c r="K82" s="77" t="s">
        <v>324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63.75" hidden="false" customHeight="true" outlineLevel="0" collapsed="false">
      <c r="A83" s="74" t="s">
        <v>93</v>
      </c>
      <c r="B83" s="74" t="s">
        <v>220</v>
      </c>
      <c r="C83" s="74" t="s">
        <v>14</v>
      </c>
      <c r="D83" s="74" t="s">
        <v>16</v>
      </c>
      <c r="E83" s="75" t="s">
        <v>187</v>
      </c>
      <c r="F83" s="74" t="s">
        <v>280</v>
      </c>
      <c r="G83" s="76" t="s">
        <v>279</v>
      </c>
      <c r="H83" s="76" t="s">
        <v>279</v>
      </c>
      <c r="I83" s="76" t="s">
        <v>279</v>
      </c>
      <c r="J83" s="76" t="s">
        <v>279</v>
      </c>
      <c r="K83" s="75" t="s">
        <v>325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48.75" hidden="false" customHeight="true" outlineLevel="0" collapsed="false">
      <c r="A84" s="74" t="s">
        <v>93</v>
      </c>
      <c r="B84" s="74" t="s">
        <v>220</v>
      </c>
      <c r="C84" s="74" t="s">
        <v>32</v>
      </c>
      <c r="D84" s="74" t="s">
        <v>34</v>
      </c>
      <c r="E84" s="75" t="s">
        <v>246</v>
      </c>
      <c r="F84" s="74" t="s">
        <v>216</v>
      </c>
      <c r="G84" s="76" t="s">
        <v>279</v>
      </c>
      <c r="H84" s="76" t="s">
        <v>279</v>
      </c>
      <c r="I84" s="76" t="s">
        <v>279</v>
      </c>
      <c r="J84" s="76" t="s">
        <v>279</v>
      </c>
      <c r="K84" s="4" t="s">
        <v>317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63.75" hidden="false" customHeight="true" outlineLevel="0" collapsed="false">
      <c r="A85" s="74" t="s">
        <v>93</v>
      </c>
      <c r="B85" s="74" t="s">
        <v>220</v>
      </c>
      <c r="C85" s="74" t="s">
        <v>37</v>
      </c>
      <c r="D85" s="74" t="s">
        <v>34</v>
      </c>
      <c r="E85" s="75" t="s">
        <v>247</v>
      </c>
      <c r="F85" s="74" t="s">
        <v>216</v>
      </c>
      <c r="G85" s="76" t="s">
        <v>279</v>
      </c>
      <c r="H85" s="76" t="s">
        <v>281</v>
      </c>
      <c r="I85" s="76" t="s">
        <v>279</v>
      </c>
      <c r="J85" s="76" t="s">
        <v>281</v>
      </c>
      <c r="K85" s="77" t="s">
        <v>326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3.75" hidden="false" customHeight="true" outlineLevel="0" collapsed="false">
      <c r="A86" s="74" t="s">
        <v>93</v>
      </c>
      <c r="B86" s="74" t="s">
        <v>220</v>
      </c>
      <c r="C86" s="74" t="s">
        <v>64</v>
      </c>
      <c r="D86" s="74" t="s">
        <v>66</v>
      </c>
      <c r="E86" s="75" t="s">
        <v>249</v>
      </c>
      <c r="F86" s="74" t="s">
        <v>216</v>
      </c>
      <c r="G86" s="76" t="s">
        <v>279</v>
      </c>
      <c r="H86" s="76" t="s">
        <v>281</v>
      </c>
      <c r="I86" s="76" t="s">
        <v>281</v>
      </c>
      <c r="J86" s="76" t="s">
        <v>281</v>
      </c>
      <c r="K86" s="4" t="s">
        <v>323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48.75" hidden="false" customHeight="true" outlineLevel="0" collapsed="false">
      <c r="A87" s="74" t="s">
        <v>105</v>
      </c>
      <c r="B87" s="74" t="s">
        <v>220</v>
      </c>
      <c r="C87" s="74" t="s">
        <v>20</v>
      </c>
      <c r="D87" s="74" t="s">
        <v>22</v>
      </c>
      <c r="E87" s="75" t="s">
        <v>252</v>
      </c>
      <c r="F87" s="74" t="s">
        <v>216</v>
      </c>
      <c r="G87" s="76" t="s">
        <v>279</v>
      </c>
      <c r="H87" s="76" t="s">
        <v>279</v>
      </c>
      <c r="I87" s="76" t="s">
        <v>279</v>
      </c>
      <c r="J87" s="76" t="s">
        <v>279</v>
      </c>
      <c r="K87" s="75" t="s">
        <v>327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33.75" hidden="false" customHeight="true" outlineLevel="0" collapsed="false">
      <c r="A88" s="74" t="s">
        <v>105</v>
      </c>
      <c r="B88" s="74" t="s">
        <v>220</v>
      </c>
      <c r="C88" s="74" t="s">
        <v>24</v>
      </c>
      <c r="D88" s="74" t="s">
        <v>22</v>
      </c>
      <c r="E88" s="75" t="s">
        <v>192</v>
      </c>
      <c r="F88" s="74" t="s">
        <v>278</v>
      </c>
      <c r="G88" s="76" t="s">
        <v>279</v>
      </c>
      <c r="H88" s="76" t="s">
        <v>279</v>
      </c>
      <c r="I88" s="76" t="s">
        <v>279</v>
      </c>
      <c r="J88" s="76" t="s">
        <v>279</v>
      </c>
      <c r="K88" s="75" t="s">
        <v>193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48.75" hidden="false" customHeight="true" outlineLevel="0" collapsed="false">
      <c r="A89" s="74" t="s">
        <v>105</v>
      </c>
      <c r="B89" s="74" t="s">
        <v>220</v>
      </c>
      <c r="C89" s="74" t="s">
        <v>14</v>
      </c>
      <c r="D89" s="74" t="s">
        <v>16</v>
      </c>
      <c r="E89" s="75" t="s">
        <v>191</v>
      </c>
      <c r="F89" s="74" t="s">
        <v>278</v>
      </c>
      <c r="G89" s="76" t="s">
        <v>279</v>
      </c>
      <c r="H89" s="76" t="s">
        <v>279</v>
      </c>
      <c r="I89" s="76" t="s">
        <v>279</v>
      </c>
      <c r="J89" s="76" t="s">
        <v>279</v>
      </c>
      <c r="K89" s="7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48.75" hidden="false" customHeight="true" outlineLevel="0" collapsed="false">
      <c r="A90" s="74" t="s">
        <v>105</v>
      </c>
      <c r="B90" s="74" t="s">
        <v>220</v>
      </c>
      <c r="C90" s="74" t="s">
        <v>32</v>
      </c>
      <c r="D90" s="74" t="s">
        <v>34</v>
      </c>
      <c r="E90" s="75" t="s">
        <v>194</v>
      </c>
      <c r="F90" s="74" t="s">
        <v>278</v>
      </c>
      <c r="G90" s="76" t="s">
        <v>279</v>
      </c>
      <c r="H90" s="76" t="s">
        <v>279</v>
      </c>
      <c r="I90" s="76" t="s">
        <v>279</v>
      </c>
      <c r="J90" s="76" t="s">
        <v>281</v>
      </c>
      <c r="K90" s="77" t="s">
        <v>328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48.75" hidden="false" customHeight="true" outlineLevel="0" collapsed="false">
      <c r="A91" s="74" t="s">
        <v>105</v>
      </c>
      <c r="B91" s="74" t="s">
        <v>220</v>
      </c>
      <c r="C91" s="74" t="s">
        <v>37</v>
      </c>
      <c r="D91" s="74" t="s">
        <v>34</v>
      </c>
      <c r="E91" s="75" t="s">
        <v>329</v>
      </c>
      <c r="F91" s="74" t="s">
        <v>278</v>
      </c>
      <c r="G91" s="76" t="s">
        <v>279</v>
      </c>
      <c r="H91" s="76" t="s">
        <v>279</v>
      </c>
      <c r="I91" s="76" t="s">
        <v>279</v>
      </c>
      <c r="J91" s="76" t="s">
        <v>279</v>
      </c>
      <c r="K91" s="75" t="s">
        <v>330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3.75" hidden="false" customHeight="true" outlineLevel="0" collapsed="false">
      <c r="A92" s="74" t="s">
        <v>105</v>
      </c>
      <c r="B92" s="74" t="s">
        <v>220</v>
      </c>
      <c r="C92" s="74" t="s">
        <v>64</v>
      </c>
      <c r="D92" s="74" t="s">
        <v>66</v>
      </c>
      <c r="E92" s="75" t="s">
        <v>254</v>
      </c>
      <c r="F92" s="74" t="s">
        <v>216</v>
      </c>
      <c r="G92" s="76" t="s">
        <v>279</v>
      </c>
      <c r="H92" s="76" t="s">
        <v>281</v>
      </c>
      <c r="I92" s="76" t="s">
        <v>281</v>
      </c>
      <c r="J92" s="76" t="s">
        <v>281</v>
      </c>
      <c r="K92" s="4" t="s">
        <v>323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33.75" hidden="false" customHeight="true" outlineLevel="0" collapsed="false">
      <c r="A93" s="74" t="s">
        <v>114</v>
      </c>
      <c r="B93" s="74" t="s">
        <v>220</v>
      </c>
      <c r="C93" s="74" t="s">
        <v>20</v>
      </c>
      <c r="D93" s="74" t="s">
        <v>22</v>
      </c>
      <c r="E93" s="75" t="s">
        <v>195</v>
      </c>
      <c r="F93" s="74" t="s">
        <v>278</v>
      </c>
      <c r="G93" s="76" t="s">
        <v>279</v>
      </c>
      <c r="H93" s="76" t="s">
        <v>279</v>
      </c>
      <c r="I93" s="76" t="s">
        <v>279</v>
      </c>
      <c r="J93" s="76" t="s">
        <v>279</v>
      </c>
      <c r="K93" s="7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48.75" hidden="false" customHeight="true" outlineLevel="0" collapsed="false">
      <c r="A94" s="74" t="s">
        <v>114</v>
      </c>
      <c r="B94" s="74" t="s">
        <v>220</v>
      </c>
      <c r="C94" s="74" t="s">
        <v>24</v>
      </c>
      <c r="D94" s="74" t="s">
        <v>22</v>
      </c>
      <c r="E94" s="75" t="s">
        <v>197</v>
      </c>
      <c r="F94" s="74" t="s">
        <v>278</v>
      </c>
      <c r="G94" s="76" t="s">
        <v>279</v>
      </c>
      <c r="H94" s="76" t="s">
        <v>279</v>
      </c>
      <c r="I94" s="76" t="s">
        <v>279</v>
      </c>
      <c r="J94" s="76" t="s">
        <v>279</v>
      </c>
      <c r="K94" s="7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48.75" hidden="false" customHeight="true" outlineLevel="0" collapsed="false">
      <c r="A95" s="74" t="s">
        <v>114</v>
      </c>
      <c r="B95" s="74" t="s">
        <v>220</v>
      </c>
      <c r="C95" s="74" t="s">
        <v>28</v>
      </c>
      <c r="D95" s="74" t="s">
        <v>22</v>
      </c>
      <c r="E95" s="75" t="s">
        <v>196</v>
      </c>
      <c r="F95" s="74" t="s">
        <v>278</v>
      </c>
      <c r="G95" s="76" t="s">
        <v>279</v>
      </c>
      <c r="H95" s="76" t="s">
        <v>279</v>
      </c>
      <c r="I95" s="76" t="s">
        <v>279</v>
      </c>
      <c r="J95" s="76" t="s">
        <v>279</v>
      </c>
      <c r="K95" s="7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33.75" hidden="false" customHeight="true" outlineLevel="0" collapsed="false">
      <c r="A96" s="74" t="s">
        <v>114</v>
      </c>
      <c r="B96" s="74" t="s">
        <v>220</v>
      </c>
      <c r="C96" s="74" t="s">
        <v>14</v>
      </c>
      <c r="D96" s="74" t="s">
        <v>16</v>
      </c>
      <c r="E96" s="75" t="s">
        <v>200</v>
      </c>
      <c r="F96" s="74" t="s">
        <v>278</v>
      </c>
      <c r="G96" s="76" t="s">
        <v>279</v>
      </c>
      <c r="H96" s="76" t="s">
        <v>279</v>
      </c>
      <c r="I96" s="76" t="s">
        <v>279</v>
      </c>
      <c r="J96" s="76" t="s">
        <v>279</v>
      </c>
      <c r="K96" s="75" t="s">
        <v>289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48.75" hidden="false" customHeight="true" outlineLevel="0" collapsed="false">
      <c r="A97" s="74" t="s">
        <v>114</v>
      </c>
      <c r="B97" s="74" t="s">
        <v>220</v>
      </c>
      <c r="C97" s="74" t="s">
        <v>32</v>
      </c>
      <c r="D97" s="74" t="s">
        <v>34</v>
      </c>
      <c r="E97" s="75" t="s">
        <v>257</v>
      </c>
      <c r="F97" s="74" t="s">
        <v>216</v>
      </c>
      <c r="G97" s="76" t="s">
        <v>279</v>
      </c>
      <c r="H97" s="76" t="s">
        <v>279</v>
      </c>
      <c r="I97" s="76" t="s">
        <v>279</v>
      </c>
      <c r="J97" s="76" t="s">
        <v>279</v>
      </c>
      <c r="K97" s="75" t="s">
        <v>331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48.75" hidden="false" customHeight="true" outlineLevel="0" collapsed="false">
      <c r="A98" s="74" t="s">
        <v>114</v>
      </c>
      <c r="B98" s="74" t="s">
        <v>220</v>
      </c>
      <c r="C98" s="74" t="s">
        <v>37</v>
      </c>
      <c r="D98" s="74" t="s">
        <v>34</v>
      </c>
      <c r="E98" s="75" t="s">
        <v>198</v>
      </c>
      <c r="F98" s="74" t="s">
        <v>280</v>
      </c>
      <c r="G98" s="76" t="s">
        <v>279</v>
      </c>
      <c r="H98" s="76" t="s">
        <v>281</v>
      </c>
      <c r="I98" s="76" t="s">
        <v>279</v>
      </c>
      <c r="J98" s="76" t="s">
        <v>279</v>
      </c>
      <c r="K98" s="77" t="s">
        <v>332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48.75" hidden="false" customHeight="true" outlineLevel="0" collapsed="false">
      <c r="A99" s="74" t="s">
        <v>129</v>
      </c>
      <c r="B99" s="74" t="s">
        <v>220</v>
      </c>
      <c r="C99" s="74" t="s">
        <v>20</v>
      </c>
      <c r="D99" s="74" t="s">
        <v>22</v>
      </c>
      <c r="E99" s="75" t="s">
        <v>201</v>
      </c>
      <c r="F99" s="74" t="s">
        <v>278</v>
      </c>
      <c r="G99" s="76" t="s">
        <v>279</v>
      </c>
      <c r="H99" s="76" t="s">
        <v>279</v>
      </c>
      <c r="I99" s="76" t="s">
        <v>279</v>
      </c>
      <c r="J99" s="76" t="s">
        <v>279</v>
      </c>
      <c r="K99" s="7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48.75" hidden="false" customHeight="true" outlineLevel="0" collapsed="false">
      <c r="A100" s="74" t="s">
        <v>129</v>
      </c>
      <c r="B100" s="74" t="s">
        <v>220</v>
      </c>
      <c r="C100" s="74" t="s">
        <v>24</v>
      </c>
      <c r="D100" s="74" t="s">
        <v>22</v>
      </c>
      <c r="E100" s="75" t="s">
        <v>203</v>
      </c>
      <c r="F100" s="74" t="s">
        <v>278</v>
      </c>
      <c r="G100" s="76" t="s">
        <v>279</v>
      </c>
      <c r="H100" s="76" t="s">
        <v>279</v>
      </c>
      <c r="I100" s="76" t="s">
        <v>279</v>
      </c>
      <c r="J100" s="76" t="s">
        <v>279</v>
      </c>
      <c r="K100" s="7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48.75" hidden="false" customHeight="true" outlineLevel="0" collapsed="false">
      <c r="A101" s="74" t="s">
        <v>129</v>
      </c>
      <c r="B101" s="74" t="s">
        <v>220</v>
      </c>
      <c r="C101" s="74" t="s">
        <v>14</v>
      </c>
      <c r="D101" s="74" t="s">
        <v>16</v>
      </c>
      <c r="E101" s="75" t="s">
        <v>204</v>
      </c>
      <c r="F101" s="74" t="s">
        <v>278</v>
      </c>
      <c r="G101" s="76" t="s">
        <v>279</v>
      </c>
      <c r="H101" s="76" t="s">
        <v>279</v>
      </c>
      <c r="I101" s="76" t="s">
        <v>279</v>
      </c>
      <c r="J101" s="76" t="s">
        <v>279</v>
      </c>
      <c r="K101" s="75" t="s">
        <v>289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48.75" hidden="false" customHeight="true" outlineLevel="0" collapsed="false">
      <c r="A102" s="74" t="s">
        <v>129</v>
      </c>
      <c r="B102" s="74" t="s">
        <v>220</v>
      </c>
      <c r="C102" s="74" t="s">
        <v>32</v>
      </c>
      <c r="D102" s="74" t="s">
        <v>34</v>
      </c>
      <c r="E102" s="75" t="s">
        <v>261</v>
      </c>
      <c r="F102" s="74" t="s">
        <v>216</v>
      </c>
      <c r="G102" s="76" t="s">
        <v>279</v>
      </c>
      <c r="H102" s="76" t="s">
        <v>279</v>
      </c>
      <c r="I102" s="76" t="s">
        <v>279</v>
      </c>
      <c r="J102" s="76" t="s">
        <v>279</v>
      </c>
      <c r="K102" s="75" t="s">
        <v>331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48.75" hidden="false" customHeight="true" outlineLevel="0" collapsed="false">
      <c r="A103" s="74" t="s">
        <v>129</v>
      </c>
      <c r="B103" s="74" t="s">
        <v>220</v>
      </c>
      <c r="C103" s="74" t="s">
        <v>37</v>
      </c>
      <c r="D103" s="74" t="s">
        <v>34</v>
      </c>
      <c r="E103" s="75" t="s">
        <v>262</v>
      </c>
      <c r="F103" s="74" t="s">
        <v>216</v>
      </c>
      <c r="G103" s="76" t="s">
        <v>279</v>
      </c>
      <c r="H103" s="76" t="s">
        <v>279</v>
      </c>
      <c r="I103" s="76" t="s">
        <v>279</v>
      </c>
      <c r="J103" s="76" t="s">
        <v>279</v>
      </c>
      <c r="K103" s="4" t="s">
        <v>317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48.75" hidden="false" customHeight="true" outlineLevel="0" collapsed="false">
      <c r="A104" s="74" t="s">
        <v>142</v>
      </c>
      <c r="B104" s="74" t="s">
        <v>220</v>
      </c>
      <c r="C104" s="74" t="s">
        <v>20</v>
      </c>
      <c r="D104" s="74" t="s">
        <v>22</v>
      </c>
      <c r="E104" s="75" t="s">
        <v>205</v>
      </c>
      <c r="F104" s="74" t="s">
        <v>278</v>
      </c>
      <c r="G104" s="76" t="s">
        <v>279</v>
      </c>
      <c r="H104" s="76" t="s">
        <v>279</v>
      </c>
      <c r="I104" s="76" t="s">
        <v>281</v>
      </c>
      <c r="J104" s="76" t="s">
        <v>279</v>
      </c>
      <c r="K104" s="77" t="s">
        <v>308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48.75" hidden="false" customHeight="true" outlineLevel="0" collapsed="false">
      <c r="A105" s="74" t="s">
        <v>142</v>
      </c>
      <c r="B105" s="74" t="s">
        <v>220</v>
      </c>
      <c r="C105" s="74" t="s">
        <v>24</v>
      </c>
      <c r="D105" s="74" t="s">
        <v>22</v>
      </c>
      <c r="E105" s="75" t="s">
        <v>206</v>
      </c>
      <c r="F105" s="74" t="s">
        <v>278</v>
      </c>
      <c r="G105" s="76" t="s">
        <v>279</v>
      </c>
      <c r="H105" s="76" t="s">
        <v>279</v>
      </c>
      <c r="I105" s="76" t="s">
        <v>281</v>
      </c>
      <c r="J105" s="76" t="s">
        <v>279</v>
      </c>
      <c r="K105" s="77" t="s">
        <v>308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48.75" hidden="false" customHeight="true" outlineLevel="0" collapsed="false">
      <c r="A106" s="74" t="s">
        <v>142</v>
      </c>
      <c r="B106" s="74" t="s">
        <v>220</v>
      </c>
      <c r="C106" s="74" t="s">
        <v>14</v>
      </c>
      <c r="D106" s="74" t="s">
        <v>16</v>
      </c>
      <c r="E106" s="75" t="s">
        <v>210</v>
      </c>
      <c r="F106" s="74" t="s">
        <v>278</v>
      </c>
      <c r="G106" s="76" t="s">
        <v>279</v>
      </c>
      <c r="H106" s="76" t="s">
        <v>279</v>
      </c>
      <c r="I106" s="76" t="s">
        <v>281</v>
      </c>
      <c r="J106" s="76" t="s">
        <v>279</v>
      </c>
      <c r="K106" s="77" t="s">
        <v>333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48.75" hidden="false" customHeight="true" outlineLevel="0" collapsed="false">
      <c r="A107" s="74" t="s">
        <v>142</v>
      </c>
      <c r="B107" s="74" t="s">
        <v>220</v>
      </c>
      <c r="C107" s="74" t="s">
        <v>32</v>
      </c>
      <c r="D107" s="74" t="s">
        <v>34</v>
      </c>
      <c r="E107" s="75" t="s">
        <v>207</v>
      </c>
      <c r="F107" s="74" t="s">
        <v>278</v>
      </c>
      <c r="G107" s="76" t="s">
        <v>279</v>
      </c>
      <c r="H107" s="76" t="s">
        <v>281</v>
      </c>
      <c r="I107" s="76" t="s">
        <v>279</v>
      </c>
      <c r="J107" s="76" t="s">
        <v>279</v>
      </c>
      <c r="K107" s="77" t="s">
        <v>334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3.75" hidden="false" customHeight="true" outlineLevel="0" collapsed="false">
      <c r="A108" s="74" t="s">
        <v>142</v>
      </c>
      <c r="B108" s="74" t="s">
        <v>220</v>
      </c>
      <c r="C108" s="74" t="s">
        <v>37</v>
      </c>
      <c r="D108" s="74" t="s">
        <v>34</v>
      </c>
      <c r="E108" s="75" t="s">
        <v>266</v>
      </c>
      <c r="F108" s="74" t="s">
        <v>216</v>
      </c>
      <c r="G108" s="76" t="s">
        <v>279</v>
      </c>
      <c r="H108" s="76" t="s">
        <v>281</v>
      </c>
      <c r="I108" s="76" t="s">
        <v>281</v>
      </c>
      <c r="J108" s="76" t="s">
        <v>281</v>
      </c>
      <c r="K108" s="77" t="s">
        <v>335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3.75" hidden="false" customHeight="true" outlineLevel="0" collapsed="false">
      <c r="A109" s="74" t="s">
        <v>142</v>
      </c>
      <c r="B109" s="74" t="s">
        <v>220</v>
      </c>
      <c r="C109" s="74" t="s">
        <v>64</v>
      </c>
      <c r="D109" s="74" t="s">
        <v>66</v>
      </c>
      <c r="E109" s="75" t="s">
        <v>268</v>
      </c>
      <c r="F109" s="74" t="s">
        <v>216</v>
      </c>
      <c r="G109" s="76" t="s">
        <v>279</v>
      </c>
      <c r="H109" s="76" t="s">
        <v>281</v>
      </c>
      <c r="I109" s="76" t="s">
        <v>281</v>
      </c>
      <c r="J109" s="76" t="s">
        <v>281</v>
      </c>
      <c r="K109" s="4" t="s">
        <v>323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2.43"/>
    <col collapsed="false" customWidth="true" hidden="false" outlineLevel="0" max="8" min="8" style="0" width="13"/>
  </cols>
  <sheetData>
    <row r="1" customFormat="false" ht="15.75" hidden="false" customHeight="true" outlineLevel="0" collapsed="false">
      <c r="A1" s="78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79" t="s">
        <v>337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80" t="s">
        <v>338</v>
      </c>
      <c r="B4" s="81" t="s">
        <v>339</v>
      </c>
      <c r="C4" s="81" t="s">
        <v>214</v>
      </c>
      <c r="D4" s="81" t="s">
        <v>340</v>
      </c>
      <c r="E4" s="81" t="s">
        <v>220</v>
      </c>
      <c r="F4" s="82" t="s">
        <v>341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83" t="s">
        <v>16</v>
      </c>
      <c r="B5" s="84" t="n">
        <f aca="false">COUNTIF('Mapeamento ChatGPT'!$E$2:$E$49,A5)</f>
        <v>9</v>
      </c>
      <c r="C5" s="84" t="n">
        <f aca="false">COUNTIFS('Mapeamento ChatGPT'!$E$2:$E$49,A5,'Mapeamento ChatGPT'!$I$2:$I$49,"Identificada")</f>
        <v>6</v>
      </c>
      <c r="D5" s="85" t="n">
        <f aca="false">IFERROR(C5/B5,"")</f>
        <v>0.666666666666667</v>
      </c>
      <c r="E5" s="84" t="n">
        <f aca="false">COUNTIFS('Mapeamento Claude'!$E$2:$E$49,A5,'Mapeamento Claude'!$I$2:$I$49,"Identificada")</f>
        <v>7</v>
      </c>
      <c r="F5" s="86" t="n">
        <f aca="false">IFERROR(E5/B5,"")</f>
        <v>0.777777777777778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83" t="s">
        <v>22</v>
      </c>
      <c r="B6" s="84" t="n">
        <f aca="false">COUNTIF('Mapeamento ChatGPT'!$E$2:$E$49,A6)</f>
        <v>27</v>
      </c>
      <c r="C6" s="84" t="n">
        <f aca="false">COUNTIFS('Mapeamento ChatGPT'!$E$2:$E$49,A6,'Mapeamento ChatGPT'!$I$2:$I$49,"Identificada")</f>
        <v>21</v>
      </c>
      <c r="D6" s="85" t="n">
        <f aca="false">IFERROR(C6/B6,"")</f>
        <v>0.777777777777778</v>
      </c>
      <c r="E6" s="84" t="n">
        <f aca="false">COUNTIFS('Mapeamento Claude'!$E$2:$E$49,A6,'Mapeamento Claude'!$I$2:$I$49,"Identificada")</f>
        <v>25</v>
      </c>
      <c r="F6" s="86" t="n">
        <f aca="false">IFERROR(E6/B6,"")</f>
        <v>0.925925925925926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83" t="s">
        <v>34</v>
      </c>
      <c r="B7" s="84" t="n">
        <f aca="false">COUNTIF('Mapeamento ChatGPT'!$E$2:$E$49,A7)</f>
        <v>5</v>
      </c>
      <c r="C7" s="84" t="n">
        <f aca="false">COUNTIFS('Mapeamento ChatGPT'!$E$2:$E$49,A7,'Mapeamento ChatGPT'!$I$2:$I$49,"Identificada")</f>
        <v>4</v>
      </c>
      <c r="D7" s="85" t="n">
        <f aca="false">IFERROR(C7/B7,"")</f>
        <v>0.8</v>
      </c>
      <c r="E7" s="84" t="n">
        <f aca="false">COUNTIFS('Mapeamento Claude'!$E$2:$E$49,A7,'Mapeamento Claude'!$I$2:$I$49,"Identificada")</f>
        <v>5</v>
      </c>
      <c r="F7" s="86" t="n">
        <f aca="false">IFERROR(E7/B7,"")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83" t="s">
        <v>66</v>
      </c>
      <c r="B8" s="84" t="n">
        <f aca="false">COUNTIF('Mapeamento ChatGPT'!$E$2:$E$49,A8)</f>
        <v>7</v>
      </c>
      <c r="C8" s="84" t="n">
        <f aca="false">COUNTIFS('Mapeamento ChatGPT'!$E$2:$E$49,A8,'Mapeamento ChatGPT'!$I$2:$I$49,"Identificada")</f>
        <v>6</v>
      </c>
      <c r="D8" s="85" t="n">
        <f aca="false">IFERROR(C8/B8,"")</f>
        <v>0.857142857142857</v>
      </c>
      <c r="E8" s="84" t="n">
        <f aca="false">COUNTIFS('Mapeamento Claude'!$E$2:$E$49,A8,'Mapeamento Claude'!$I$2:$I$49,"Identificada")</f>
        <v>7</v>
      </c>
      <c r="F8" s="86" t="n">
        <f aca="false">IFERROR(E8/B8,"")</f>
        <v>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87" t="s">
        <v>342</v>
      </c>
      <c r="B9" s="88" t="n">
        <f aca="false">SUM(B5:B8)</f>
        <v>48</v>
      </c>
      <c r="C9" s="88" t="n">
        <f aca="false">SUM(C5:C8)</f>
        <v>37</v>
      </c>
      <c r="D9" s="89" t="n">
        <f aca="false">IFERROR(C9/B9,"")</f>
        <v>0.770833333333333</v>
      </c>
      <c r="E9" s="88" t="n">
        <f aca="false">SUM(E5:E8)</f>
        <v>44</v>
      </c>
      <c r="F9" s="90" t="n">
        <f aca="false">IFERROR(E9/B9,"")</f>
        <v>0.916666666666667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79" t="s">
        <v>343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80" t="s">
        <v>344</v>
      </c>
      <c r="B13" s="81" t="s">
        <v>214</v>
      </c>
      <c r="C13" s="82" t="s">
        <v>220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83" t="s">
        <v>19</v>
      </c>
      <c r="B14" s="84" t="n">
        <f aca="false">COUNTIF('Mapeamento ChatGPT'!$J$2:$J$49,A14)</f>
        <v>28</v>
      </c>
      <c r="C14" s="91" t="n">
        <f aca="false">COUNTIF('Mapeamento Claude'!$J$2:$J$49,A14)</f>
        <v>35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92" t="s">
        <v>54</v>
      </c>
      <c r="B15" s="93" t="n">
        <f aca="false">COUNTIF('Mapeamento ChatGPT'!$J$2:$J$49,A15)</f>
        <v>9</v>
      </c>
      <c r="C15" s="94" t="n">
        <f aca="false">COUNTIF('Mapeamento Claude'!$J$2:$J$49,A15)</f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95" t="s">
        <v>345</v>
      </c>
      <c r="B17" s="95"/>
      <c r="C17" s="95"/>
      <c r="D17" s="96"/>
      <c r="E17" s="96"/>
      <c r="F17" s="96"/>
      <c r="G17" s="9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97" t="s">
        <v>346</v>
      </c>
      <c r="B18" s="97" t="s">
        <v>214</v>
      </c>
      <c r="C18" s="97" t="s">
        <v>220</v>
      </c>
      <c r="D18" s="96"/>
      <c r="E18" s="96"/>
      <c r="F18" s="96"/>
      <c r="G18" s="9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84" t="s">
        <v>216</v>
      </c>
      <c r="B19" s="98" t="n">
        <f aca="false">COUNTIFS('Requisitos Extras'!$B$3:$B$36,"ChatGPT",'Requisitos Extras'!$F$3:$F$36,A19)</f>
        <v>11</v>
      </c>
      <c r="C19" s="98" t="n">
        <f aca="false">COUNTIFS('Requisitos Extras'!$B$3:$B$36,"Claude",'Requisitos Extras'!$F$3:$F$36,A19)</f>
        <v>21</v>
      </c>
      <c r="D19" s="96"/>
      <c r="E19" s="96"/>
      <c r="F19" s="96"/>
      <c r="G19" s="9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84" t="s">
        <v>222</v>
      </c>
      <c r="B20" s="98" t="n">
        <f aca="false">COUNTIFS('Requisitos Extras'!$B$3:$B$36,"ChatGPT",'Requisitos Extras'!$F$3:$F$36,A20)</f>
        <v>1</v>
      </c>
      <c r="C20" s="98" t="n">
        <f aca="false">COUNTIFS('Requisitos Extras'!$B$3:$B$36,"Claude",'Requisitos Extras'!$F$3:$F$36,A20)</f>
        <v>1</v>
      </c>
      <c r="D20" s="96"/>
      <c r="E20" s="96"/>
      <c r="F20" s="96"/>
      <c r="G20" s="9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99"/>
      <c r="B21" s="99"/>
      <c r="C21" s="99"/>
      <c r="D21" s="96"/>
      <c r="E21" s="96"/>
      <c r="F21" s="96"/>
      <c r="G21" s="9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100" t="s">
        <v>342</v>
      </c>
      <c r="B22" s="100" t="n">
        <f aca="false">SUM(B19:B20)</f>
        <v>12</v>
      </c>
      <c r="C22" s="100" t="n">
        <f aca="false">SUM(C19:C20)</f>
        <v>22</v>
      </c>
      <c r="D22" s="96"/>
      <c r="E22" s="96"/>
      <c r="F22" s="96"/>
      <c r="G22" s="9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96"/>
      <c r="B23" s="96"/>
      <c r="C23" s="96"/>
      <c r="D23" s="96"/>
      <c r="E23" s="96"/>
      <c r="F23" s="96"/>
      <c r="G23" s="9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96"/>
      <c r="B24" s="96"/>
      <c r="C24" s="96"/>
      <c r="D24" s="96"/>
      <c r="E24" s="96"/>
      <c r="F24" s="96"/>
      <c r="G24" s="9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96"/>
      <c r="B25" s="96"/>
      <c r="C25" s="96"/>
      <c r="D25" s="96"/>
      <c r="E25" s="96"/>
      <c r="F25" s="96"/>
      <c r="G25" s="9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95" t="s">
        <v>347</v>
      </c>
      <c r="B26" s="95"/>
      <c r="C26" s="95"/>
      <c r="D26" s="95"/>
      <c r="E26" s="95"/>
      <c r="F26" s="95"/>
      <c r="G26" s="9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97" t="s">
        <v>348</v>
      </c>
      <c r="B27" s="97" t="s">
        <v>349</v>
      </c>
      <c r="C27" s="97" t="s">
        <v>350</v>
      </c>
      <c r="D27" s="97" t="s">
        <v>351</v>
      </c>
      <c r="E27" s="97" t="s">
        <v>352</v>
      </c>
      <c r="F27" s="97" t="s">
        <v>353</v>
      </c>
      <c r="G27" s="97" t="s">
        <v>354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101" t="s">
        <v>273</v>
      </c>
      <c r="B28" s="101" t="n">
        <f aca="false">COUNTIFS(Avaliação!$B$2:$B$109,"ChatGPT",Avaliação!$G$2:$G$109,"A")</f>
        <v>47</v>
      </c>
      <c r="C28" s="101" t="n">
        <f aca="false">COUNTIFS(Avaliação!$B$2:$B$109,"ChatGPT",Avaliação!$G$2:$G$109,"AP")</f>
        <v>2</v>
      </c>
      <c r="D28" s="101" t="n">
        <f aca="false">COUNTIFS(Avaliação!$B$2:$B$109,"ChatGPT",Avaliação!$G$2:$G$109,"NA")</f>
        <v>0</v>
      </c>
      <c r="E28" s="101" t="n">
        <f aca="false">COUNTIFS(Avaliação!$B$2:$B$109,"Claude",Avaliação!$G$2:$G$109,"A")</f>
        <v>58</v>
      </c>
      <c r="F28" s="101" t="n">
        <f aca="false">COUNTIFS(Avaliação!$B$2:$B$109,"Claude",Avaliação!$G$2:$G$109,"AP")</f>
        <v>1</v>
      </c>
      <c r="G28" s="101" t="n">
        <f aca="false">COUNTIFS(Avaliação!$B$2:$B$109,"Claude",Avaliação!$G$2:$G$109,"NA")</f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01" t="s">
        <v>274</v>
      </c>
      <c r="B29" s="101" t="n">
        <f aca="false">COUNTIFS(Avaliação!$B$2:$B$109,"ChatGPT",Avaliação!$H$2:$H$109,"A")</f>
        <v>35</v>
      </c>
      <c r="C29" s="101" t="n">
        <f aca="false">COUNTIFS(Avaliação!$B$2:$B$109,"ChatGPT",Avaliação!$H$2:$H$109,"AP")</f>
        <v>14</v>
      </c>
      <c r="D29" s="101" t="n">
        <f aca="false">COUNTIFS(Avaliação!$B$2:$B$109,"ChatGPT",Avaliação!$H$2:$H$109,"NA")</f>
        <v>0</v>
      </c>
      <c r="E29" s="101" t="n">
        <f aca="false">COUNTIFS(Avaliação!$B$2:$B$109,"Claude",Avaliação!$H$2:$H$109,"A")</f>
        <v>50</v>
      </c>
      <c r="F29" s="101" t="n">
        <f aca="false">COUNTIFS(Avaliação!$B$2:$B$109,"Claude",Avaliação!$H$2:$H$109,"AP")</f>
        <v>9</v>
      </c>
      <c r="G29" s="101" t="n">
        <f aca="false">COUNTIFS(Avaliação!$B$2:$B$109,"Claude",Avaliação!$H$2:$H$109,"NA")</f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01" t="s">
        <v>275</v>
      </c>
      <c r="B30" s="101" t="n">
        <f aca="false">COUNTIFS(Avaliação!$B$2:$B$109,"ChatGPT",Avaliação!$I$2:$I$109,"A")</f>
        <v>28</v>
      </c>
      <c r="C30" s="101" t="n">
        <f aca="false">COUNTIFS(Avaliação!$B$2:$B$109,"ChatGPT",Avaliação!$I$2:$I$109,"AP")</f>
        <v>21</v>
      </c>
      <c r="D30" s="101" t="n">
        <f aca="false">COUNTIFS(Avaliação!$B$2:$B$109,"ChatGPT",Avaliação!$I$2:$I$109,"NA")</f>
        <v>0</v>
      </c>
      <c r="E30" s="101" t="n">
        <f aca="false">COUNTIFS(Avaliação!$B$2:$B$109,"Claude",Avaliação!$I$2:$I$109,"A")</f>
        <v>48</v>
      </c>
      <c r="F30" s="101" t="n">
        <f aca="false">COUNTIFS(Avaliação!$B$2:$B$109,"Claude",Avaliação!$I$2:$I$109,"AP")</f>
        <v>11</v>
      </c>
      <c r="G30" s="101" t="n">
        <f aca="false">COUNTIFS(Avaliação!$B$2:$B$109,"Claude",Avaliação!$I$2:$I$109,"NA")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01" t="s">
        <v>276</v>
      </c>
      <c r="B31" s="101" t="n">
        <f aca="false">COUNTIFS(Avaliação!$B$2:$B$109,"ChatGPT",Avaliação!$J$2:$J$109,"A")</f>
        <v>34</v>
      </c>
      <c r="C31" s="101" t="n">
        <f aca="false">COUNTIFS(Avaliação!$B$2:$B$109,"ChatGPT",Avaliação!$J$2:$J$109,"AP")</f>
        <v>15</v>
      </c>
      <c r="D31" s="101" t="n">
        <f aca="false">COUNTIFS(Avaliação!$B$2:$B$109,"ChatGPT",Avaliação!$J$2:$J$109,"NA")</f>
        <v>0</v>
      </c>
      <c r="E31" s="101" t="n">
        <f aca="false">COUNTIFS(Avaliação!$B$2:$B$109,"Claude",Avaliação!$J$2:$J$109,"A")</f>
        <v>49</v>
      </c>
      <c r="F31" s="101" t="n">
        <f aca="false">COUNTIFS(Avaliação!$B$2:$B$109,"Claude",Avaliação!$J$2:$J$109,"AP")</f>
        <v>10</v>
      </c>
      <c r="G31" s="101" t="n">
        <f aca="false">COUNTIFS(Avaliação!$B$2:$B$109,"Claude",Avaliação!$J$2:$J$109,"NA")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102" t="s">
        <v>355</v>
      </c>
      <c r="B32" s="102" t="n">
        <f aca="false">SUM(B28:B31)</f>
        <v>144</v>
      </c>
      <c r="C32" s="102" t="n">
        <f aca="false">SUM(C28:C31)</f>
        <v>52</v>
      </c>
      <c r="D32" s="102" t="n">
        <f aca="false">SUM(D28:D31)</f>
        <v>0</v>
      </c>
      <c r="E32" s="102" t="n">
        <f aca="false">SUM(E28:E31)</f>
        <v>205</v>
      </c>
      <c r="F32" s="102" t="n">
        <f aca="false">SUM(F28:F31)</f>
        <v>31</v>
      </c>
      <c r="G32" s="102" t="n">
        <f aca="false">SUM(G28:G31)</f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101" t="s">
        <v>356</v>
      </c>
      <c r="B33" s="103" t="n">
        <f aca="false">B32/SUM(B32:D32)</f>
        <v>0.73469387755102</v>
      </c>
      <c r="C33" s="2"/>
      <c r="D33" s="2"/>
      <c r="E33" s="103" t="n">
        <f aca="false">E32/SUM(E32:G32)</f>
        <v>0.86864406779661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73" t="s">
        <v>269</v>
      </c>
      <c r="B34" s="73" t="s">
        <v>271</v>
      </c>
      <c r="C34" s="73" t="s">
        <v>357</v>
      </c>
      <c r="D34" s="73" t="s">
        <v>358</v>
      </c>
      <c r="E34" s="73" t="s">
        <v>359</v>
      </c>
      <c r="F34" s="73" t="s">
        <v>360</v>
      </c>
      <c r="G34" s="73" t="s">
        <v>361</v>
      </c>
      <c r="H34" s="73" t="s">
        <v>362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101" t="s">
        <v>214</v>
      </c>
      <c r="B35" s="101" t="s">
        <v>16</v>
      </c>
      <c r="C35" s="101" t="n">
        <f aca="false">COUNTIFS(Avaliação!$B$2:$B$109,A35,Avaliação!$D$2:$D$109,B35)</f>
        <v>16</v>
      </c>
      <c r="D35" s="103" t="n">
        <f aca="false">IF($C35=0,0,COUNTIFS(Avaliação!$B$2:$B$109,$A35,Avaliação!$D$2:$D$109,$B35,Avaliação!$G$2:$G$109,"A")/$C35)</f>
        <v>1</v>
      </c>
      <c r="E35" s="103" t="n">
        <f aca="false">IF($C35=0,0,COUNTIFS(Avaliação!$B$2:$B$109,$A35,Avaliação!$D$2:$D$109,$B35,Avaliação!$H$2:$H$109,"A")/$C35)</f>
        <v>0.9375</v>
      </c>
      <c r="F35" s="103" t="n">
        <f aca="false">IF($C35=0,0,COUNTIFS(Avaliação!$B$2:$B$109,$A35,Avaliação!$D$2:$D$109,$B35,Avaliação!$I$2:$I$109,"A")/$C35)</f>
        <v>0.6875</v>
      </c>
      <c r="G35" s="103" t="n">
        <f aca="false">IF($C35=0,0,COUNTIFS(Avaliação!$B$2:$B$109,$A35,Avaliação!$D$2:$D$109,$B35,Avaliação!$J$2:$J$109,"A")/$C35)</f>
        <v>0.875</v>
      </c>
      <c r="H35" s="103" t="n">
        <f aca="false">AVERAGE(D35:G35)</f>
        <v>0.875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101" t="s">
        <v>214</v>
      </c>
      <c r="B36" s="101" t="s">
        <v>22</v>
      </c>
      <c r="C36" s="101" t="n">
        <f aca="false">COUNTIFS(Avaliação!$B$2:$B$109,A36,Avaliação!$D$2:$D$109,B36)</f>
        <v>25</v>
      </c>
      <c r="D36" s="103" t="n">
        <f aca="false">IF($C36=0,0,COUNTIFS(Avaliação!$B$2:$B$109,$A36,Avaliação!$D$2:$D$109,$B36,Avaliação!$G$2:$G$109,"A")/$C36)</f>
        <v>0.92</v>
      </c>
      <c r="E36" s="103" t="n">
        <f aca="false">IF($C36=0,0,COUNTIFS(Avaliação!$B$2:$B$109,$A36,Avaliação!$D$2:$D$109,$B36,Avaliação!$H$2:$H$109,"A")/$C36)</f>
        <v>0.72</v>
      </c>
      <c r="F36" s="103" t="n">
        <f aca="false">IF($C36=0,0,COUNTIFS(Avaliação!$B$2:$B$109,$A36,Avaliação!$D$2:$D$109,$B36,Avaliação!$I$2:$I$109,"A")/$C36)</f>
        <v>0.64</v>
      </c>
      <c r="G36" s="103" t="n">
        <f aca="false">IF($C36=0,0,COUNTIFS(Avaliação!$B$2:$B$109,$A36,Avaliação!$D$2:$D$109,$B36,Avaliação!$J$2:$J$109,"A")/$C36)</f>
        <v>0.76</v>
      </c>
      <c r="H36" s="103" t="n">
        <f aca="false">AVERAGE(D36:G36)</f>
        <v>0.76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101" t="s">
        <v>214</v>
      </c>
      <c r="B37" s="101" t="s">
        <v>34</v>
      </c>
      <c r="C37" s="101" t="n">
        <f aca="false">COUNTIFS(Avaliação!$B$2:$B$109,A37,Avaliação!$D$2:$D$109,B37)</f>
        <v>7</v>
      </c>
      <c r="D37" s="103" t="n">
        <f aca="false">IF($C37=0,0,COUNTIFS(Avaliação!$B$2:$B$109,$A37,Avaliação!$D$2:$D$109,$B37,Avaliação!$G$2:$G$109,"A")/$C37)</f>
        <v>1</v>
      </c>
      <c r="E37" s="103" t="n">
        <f aca="false">IF($C37=0,0,COUNTIFS(Avaliação!$B$2:$B$109,$A37,Avaliação!$D$2:$D$109,$B37,Avaliação!$H$2:$H$109,"A")/$C37)</f>
        <v>0.142857142857143</v>
      </c>
      <c r="F37" s="103" t="n">
        <f aca="false">IF($C37=0,0,COUNTIFS(Avaliação!$B$2:$B$109,$A37,Avaliação!$D$2:$D$109,$B37,Avaliação!$I$2:$I$109,"A")/$C37)</f>
        <v>0.142857142857143</v>
      </c>
      <c r="G37" s="103" t="n">
        <f aca="false">IF($C37=0,0,COUNTIFS(Avaliação!$B$2:$B$109,$A37,Avaliação!$D$2:$D$109,$B37,Avaliação!$J$2:$J$109,"A")/$C37)</f>
        <v>0</v>
      </c>
      <c r="H37" s="103" t="n">
        <f aca="false">AVERAGE(D37:G37)</f>
        <v>0.321428571428571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01" t="s">
        <v>214</v>
      </c>
      <c r="B38" s="101" t="s">
        <v>66</v>
      </c>
      <c r="C38" s="101" t="n">
        <f aca="false">COUNTIFS(Avaliação!$B$2:$B$109,A38,Avaliação!$D$2:$D$109,B38)</f>
        <v>1</v>
      </c>
      <c r="D38" s="103" t="n">
        <f aca="false">IF($C38=0,0,COUNTIFS(Avaliação!$B$2:$B$109,$A38,Avaliação!$D$2:$D$109,$B38,Avaliação!$G$2:$G$109,"A")/$C38)</f>
        <v>1</v>
      </c>
      <c r="E38" s="103" t="n">
        <f aca="false">IF($C38=0,0,COUNTIFS(Avaliação!$B$2:$B$109,$A38,Avaliação!$D$2:$D$109,$B38,Avaliação!$H$2:$H$109,"A")/$C38)</f>
        <v>1</v>
      </c>
      <c r="F38" s="103" t="n">
        <f aca="false">IF($C38=0,0,COUNTIFS(Avaliação!$B$2:$B$109,$A38,Avaliação!$D$2:$D$109,$B38,Avaliação!$I$2:$I$109,"A")/$C38)</f>
        <v>0</v>
      </c>
      <c r="G38" s="103" t="n">
        <f aca="false">IF($C38=0,0,COUNTIFS(Avaliação!$B$2:$B$109,$A38,Avaliação!$D$2:$D$109,$B38,Avaliação!$J$2:$J$109,"A")/$C38)</f>
        <v>1</v>
      </c>
      <c r="H38" s="103" t="n">
        <f aca="false">AVERAGE(D38:G38)</f>
        <v>0.75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00" t="s">
        <v>214</v>
      </c>
      <c r="B39" s="100" t="s">
        <v>342</v>
      </c>
      <c r="C39" s="100" t="n">
        <f aca="false">COUNTIF(Avaliação!$B$2:$B$109,A39)</f>
        <v>49</v>
      </c>
      <c r="D39" s="104" t="n">
        <f aca="false">IF($C39=0,0,COUNTIFS(Avaliação!$B$2:$B$109,$A39,Avaliação!$G$2:$G$109,"A")/$C39)</f>
        <v>0.959183673469388</v>
      </c>
      <c r="E39" s="104" t="n">
        <f aca="false">IF($C39=0,0,COUNTIFS(Avaliação!$B$2:$B$109,$A39,Avaliação!$H$2:$H$109,"A")/$C39)</f>
        <v>0.714285714285714</v>
      </c>
      <c r="F39" s="104" t="n">
        <f aca="false">IF($C39=0,0,COUNTIFS(Avaliação!$B$2:$B$109,$A39,Avaliação!$I$2:$I$109,"A")/$C39)</f>
        <v>0.571428571428571</v>
      </c>
      <c r="G39" s="104" t="n">
        <f aca="false">IF($C39=0,0,COUNTIFS(Avaliação!$B$2:$B$109,$A39,Avaliação!$J$2:$J$109,"A")/$C39)</f>
        <v>0.693877551020408</v>
      </c>
      <c r="H39" s="104" t="n">
        <f aca="false">AVERAGE(D39:G39)</f>
        <v>0.73469387755102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101" t="s">
        <v>220</v>
      </c>
      <c r="B40" s="101" t="s">
        <v>16</v>
      </c>
      <c r="C40" s="101" t="n">
        <f aca="false">COUNTIFS(Avaliação!$B$2:$B$109,A40,Avaliação!$D$2:$D$109,B40)</f>
        <v>13</v>
      </c>
      <c r="D40" s="103" t="n">
        <f aca="false">IF($C40=0,0,COUNTIFS(Avaliação!$B$2:$B$109,$A40,Avaliação!$D$2:$D$109,$B40,Avaliação!$G$2:$G$109,"A")/$C40)</f>
        <v>1</v>
      </c>
      <c r="E40" s="103" t="n">
        <f aca="false">IF($C40=0,0,COUNTIFS(Avaliação!$B$2:$B$109,$A40,Avaliação!$D$2:$D$109,$B40,Avaliação!$H$2:$H$109,"A")/$C40)</f>
        <v>1</v>
      </c>
      <c r="F40" s="103" t="n">
        <f aca="false">IF($C40=0,0,COUNTIFS(Avaliação!$B$2:$B$109,$A40,Avaliação!$D$2:$D$109,$B40,Avaliação!$I$2:$I$109,"A")/$C40)</f>
        <v>0.846153846153846</v>
      </c>
      <c r="G40" s="103" t="n">
        <f aca="false">IF($C40=0,0,COUNTIFS(Avaliação!$B$2:$B$109,$A40,Avaliação!$D$2:$D$109,$B40,Avaliação!$J$2:$J$109,"A")/$C40)</f>
        <v>0.923076923076923</v>
      </c>
      <c r="H40" s="103" t="n">
        <f aca="false">AVERAGE(D40:G40)</f>
        <v>0.942307692307692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101" t="s">
        <v>220</v>
      </c>
      <c r="B41" s="101" t="s">
        <v>22</v>
      </c>
      <c r="C41" s="101" t="n">
        <f aca="false">COUNTIFS(Avaliação!$B$2:$B$109,A41,Avaliação!$D$2:$D$109,B41)</f>
        <v>24</v>
      </c>
      <c r="D41" s="103" t="n">
        <f aca="false">IF($C41=0,0,COUNTIFS(Avaliação!$B$2:$B$109,$A41,Avaliação!$D$2:$D$109,$B41,Avaliação!$G$2:$G$109,"A")/$C41)</f>
        <v>0.958333333333333</v>
      </c>
      <c r="E41" s="103" t="n">
        <f aca="false">IF($C41=0,0,COUNTIFS(Avaliação!$B$2:$B$109,$A41,Avaliação!$D$2:$D$109,$B41,Avaliação!$H$2:$H$109,"A")/$C41)</f>
        <v>1</v>
      </c>
      <c r="F41" s="103" t="n">
        <f aca="false">IF($C41=0,0,COUNTIFS(Avaliação!$B$2:$B$109,$A41,Avaliação!$D$2:$D$109,$B41,Avaliação!$I$2:$I$109,"A")/$C41)</f>
        <v>0.833333333333333</v>
      </c>
      <c r="G41" s="103" t="n">
        <f aca="false">IF($C41=0,0,COUNTIFS(Avaliação!$B$2:$B$109,$A41,Avaliação!$D$2:$D$109,$B41,Avaliação!$J$2:$J$109,"A")/$C41)</f>
        <v>0.958333333333333</v>
      </c>
      <c r="H41" s="103" t="n">
        <f aca="false">AVERAGE(D41:G41)</f>
        <v>0.9375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101" t="s">
        <v>220</v>
      </c>
      <c r="B42" s="101" t="s">
        <v>34</v>
      </c>
      <c r="C42" s="101" t="n">
        <f aca="false">COUNTIFS(Avaliação!$B$2:$B$109,A42,Avaliação!$D$2:$D$109,B42)</f>
        <v>17</v>
      </c>
      <c r="D42" s="103" t="n">
        <f aca="false">IF($C42=0,0,COUNTIFS(Avaliação!$B$2:$B$109,$A42,Avaliação!$D$2:$D$109,$B42,Avaliação!$G$2:$G$109,"A")/$C42)</f>
        <v>1</v>
      </c>
      <c r="E42" s="103" t="n">
        <f aca="false">IF($C42=0,0,COUNTIFS(Avaliação!$B$2:$B$109,$A42,Avaliação!$D$2:$D$109,$B42,Avaliação!$H$2:$H$109,"A")/$C42)</f>
        <v>0.705882352941177</v>
      </c>
      <c r="F42" s="103" t="n">
        <f aca="false">IF($C42=0,0,COUNTIFS(Avaliação!$B$2:$B$109,$A42,Avaliação!$D$2:$D$109,$B42,Avaliação!$I$2:$I$109,"A")/$C42)</f>
        <v>0.941176470588235</v>
      </c>
      <c r="G42" s="103" t="n">
        <f aca="false">IF($C42=0,0,COUNTIFS(Avaliação!$B$2:$B$109,$A42,Avaliação!$D$2:$D$109,$B42,Avaliação!$J$2:$J$109,"A")/$C42)</f>
        <v>0.764705882352941</v>
      </c>
      <c r="H42" s="103" t="n">
        <f aca="false">AVERAGE(D42:G42)</f>
        <v>0.852941176470588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101" t="s">
        <v>220</v>
      </c>
      <c r="B43" s="101" t="s">
        <v>66</v>
      </c>
      <c r="C43" s="101" t="n">
        <f aca="false">COUNTIFS(Avaliação!$B$2:$B$109,A43,Avaliação!$D$2:$D$109,B43)</f>
        <v>5</v>
      </c>
      <c r="D43" s="103" t="n">
        <f aca="false">IF($C43=0,0,COUNTIFS(Avaliação!$B$2:$B$109,$A43,Avaliação!$D$2:$D$109,$B43,Avaliação!$G$2:$G$109,"A")/$C43)</f>
        <v>1</v>
      </c>
      <c r="E43" s="103" t="n">
        <f aca="false">IF($C43=0,0,COUNTIFS(Avaliação!$B$2:$B$109,$A43,Avaliação!$D$2:$D$109,$B43,Avaliação!$H$2:$H$109,"A")/$C43)</f>
        <v>0.2</v>
      </c>
      <c r="F43" s="103" t="n">
        <f aca="false">IF($C43=0,0,COUNTIFS(Avaliação!$B$2:$B$109,$A43,Avaliação!$D$2:$D$109,$B43,Avaliação!$I$2:$I$109,"A")/$C43)</f>
        <v>0.2</v>
      </c>
      <c r="G43" s="103" t="n">
        <f aca="false">IF($C43=0,0,COUNTIFS(Avaliação!$B$2:$B$109,$A43,Avaliação!$D$2:$D$109,$B43,Avaliação!$J$2:$J$109,"A")/$C43)</f>
        <v>0.2</v>
      </c>
      <c r="H43" s="103" t="n">
        <f aca="false">AVERAGE(D43:G43)</f>
        <v>0.4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100" t="s">
        <v>220</v>
      </c>
      <c r="B44" s="100" t="s">
        <v>342</v>
      </c>
      <c r="C44" s="100" t="n">
        <f aca="false">COUNTIF(Avaliação!$B$2:$B$109,A44)</f>
        <v>59</v>
      </c>
      <c r="D44" s="104" t="n">
        <f aca="false">IF($C44=0,0,COUNTIFS(Avaliação!$B$2:$B$109,$A44,Avaliação!$G$2:$G$109,"A")/$C44)</f>
        <v>0.983050847457627</v>
      </c>
      <c r="E44" s="104" t="n">
        <f aca="false">IF($C44=0,0,COUNTIFS(Avaliação!$B$2:$B$109,$A44,Avaliação!$H$2:$H$109,"A")/$C44)</f>
        <v>0.847457627118644</v>
      </c>
      <c r="F44" s="104" t="n">
        <f aca="false">IF($C44=0,0,COUNTIFS(Avaliação!$B$2:$B$109,$A44,Avaliação!$I$2:$I$109,"A")/$C44)</f>
        <v>0.813559322033898</v>
      </c>
      <c r="G44" s="104" t="n">
        <f aca="false">IF($C44=0,0,COUNTIFS(Avaliação!$B$2:$B$109,$A44,Avaliação!$J$2:$J$109,"A")/$C44)</f>
        <v>0.830508474576271</v>
      </c>
      <c r="H44" s="104" t="n">
        <f aca="false">AVERAGE(D44:G44)</f>
        <v>0.86864406779661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105" t="s">
        <v>363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79" t="s">
        <v>364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70" t="s">
        <v>365</v>
      </c>
      <c r="B48" s="70" t="s">
        <v>214</v>
      </c>
      <c r="C48" s="70" t="s">
        <v>220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84" t="s">
        <v>366</v>
      </c>
      <c r="B49" s="84" t="n">
        <f aca="false">COUNTIF(Avaliação!$B$2:$B$109,"ChatGPT")</f>
        <v>49</v>
      </c>
      <c r="C49" s="84" t="n">
        <f aca="false">COUNTIF(Avaliação!$B$2:$B$109,"Claude")</f>
        <v>59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84" t="s">
        <v>367</v>
      </c>
      <c r="B50" s="84" t="n">
        <f aca="false">C9</f>
        <v>37</v>
      </c>
      <c r="C50" s="84" t="n">
        <f aca="false">E9</f>
        <v>44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84" t="s">
        <v>368</v>
      </c>
      <c r="B51" s="106" t="n">
        <f aca="false">B49/$B$9</f>
        <v>1.02083333333333</v>
      </c>
      <c r="C51" s="106" t="n">
        <f aca="false">C49/$B$9</f>
        <v>1.22916666666667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79" t="s">
        <v>369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70" t="s">
        <v>344</v>
      </c>
      <c r="B54" s="70" t="s">
        <v>214</v>
      </c>
      <c r="C54" s="70" t="s">
        <v>220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84" t="s">
        <v>278</v>
      </c>
      <c r="B55" s="84" t="n">
        <f aca="false">COUNTIFS(Avaliação!$B$2:$B$109,"ChatGPT",Avaliação!$F$2:$F$109,A55)</f>
        <v>29</v>
      </c>
      <c r="C55" s="84" t="n">
        <f aca="false">COUNTIFS(Avaliação!$B$2:$B$109,"Claude",Avaliação!$F$2:$F$109,A55)</f>
        <v>35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84" t="s">
        <v>280</v>
      </c>
      <c r="B56" s="84" t="n">
        <f aca="false">COUNTIFS(Avaliação!$B$2:$B$109,"ChatGPT",Avaliação!$F$2:$F$109,A56)</f>
        <v>8</v>
      </c>
      <c r="C56" s="84" t="n">
        <f aca="false">COUNTIFS(Avaliação!$B$2:$B$109,"Claude",Avaliação!$F$2:$F$109,A56)</f>
        <v>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84" t="s">
        <v>216</v>
      </c>
      <c r="B57" s="84" t="n">
        <f aca="false">COUNTIFS(Avaliação!$B$2:$B$109,"ChatGPT",Avaliação!$F$2:$F$109,A57)</f>
        <v>11</v>
      </c>
      <c r="C57" s="84" t="n">
        <f aca="false">COUNTIFS(Avaliação!$B$2:$B$109,"Claude",Avaliação!$F$2:$F$109,A57)</f>
        <v>21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84" t="s">
        <v>222</v>
      </c>
      <c r="B58" s="84" t="n">
        <f aca="false">COUNTIFS(Avaliação!$B$2:$B$109,"ChatGPT",Avaliação!$F$2:$F$109,A58)</f>
        <v>1</v>
      </c>
      <c r="C58" s="84" t="n">
        <f aca="false">COUNTIFS(Avaliação!$B$2:$B$109,"Claude",Avaliação!$F$2:$F$109,A58)</f>
        <v>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107" t="s">
        <v>342</v>
      </c>
      <c r="B59" s="107" t="n">
        <f aca="false">SUM(B55:B58)</f>
        <v>49</v>
      </c>
      <c r="C59" s="107" t="n">
        <f aca="false">SUM(C55:C58)</f>
        <v>59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7:C17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2026-10-15T17:12:37Z</dcterms:created>
  <dc:creator>openpyxl</dc:creator>
  <dc:description/>
  <dc:language>en-US</dc:language>
  <cp:lastModifiedBy/>
  <dcterms:modified xsi:type="dcterms:W3CDTF">2026-10-15T17:12:38Z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